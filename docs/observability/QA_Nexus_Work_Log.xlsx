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solidated Report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Idea Confirmation" sheetId="5" state="visible" r:id="rId5"/>
    <sheet xmlns:r="http://schemas.openxmlformats.org/officeDocument/2006/relationships" name="Test Case Management Research" sheetId="6" state="visible" r:id="rId6"/>
    <sheet xmlns:r="http://schemas.openxmlformats.org/officeDocument/2006/relationships" name="Test Automation &amp; Reporting" sheetId="7" state="visible" r:id="rId7"/>
    <sheet xmlns:r="http://schemas.openxmlformats.org/officeDocument/2006/relationships" name="Design &amp; Specifications" sheetId="8" state="visible" r:id="rId8"/>
    <sheet xmlns:r="http://schemas.openxmlformats.org/officeDocument/2006/relationships" name="Milestone Planning" sheetId="9" state="visible" r:id="rId9"/>
    <sheet xmlns:r="http://schemas.openxmlformats.org/officeDocument/2006/relationships" name="Launch Creative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Other" sheetId="12" state="visible" r:id="rId12"/>
    <sheet xmlns:r="http://schemas.openxmlformats.org/officeDocument/2006/relationships" name="All Sessions (chronological)" sheetId="13" state="visible" r:id="rId13"/>
    <sheet xmlns:r="http://schemas.openxmlformats.org/officeDocument/2006/relationships" name="Tokens — Sessions" sheetId="14" state="visible" r:id="rId14"/>
    <sheet xmlns:r="http://schemas.openxmlformats.org/officeDocument/2006/relationships" name="Tokens — Daily Rollup" sheetId="15" state="visible" r:id="rId15"/>
    <sheet xmlns:r="http://schemas.openxmlformats.org/officeDocument/2006/relationships" name="Tokens — Per-Chat Comparison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\-mm\-dd"/>
    <numFmt numFmtId="166" formatCode="yyyy-mm-dd"/>
    <numFmt numFmtId="167" formatCode="yyyy-mm-dd h:mm:ss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6"/>
    </font>
    <font>
      <name val="Calibri"/>
      <charset val="1"/>
      <family val="0"/>
      <color rgb="FFCCFBF1"/>
      <sz val="14"/>
    </font>
    <font>
      <name val="Calibri"/>
      <charset val="1"/>
      <family val="0"/>
      <color rgb="FFCCFBF1"/>
      <sz val="10"/>
    </font>
    <font>
      <name val="Calibri"/>
      <charset val="1"/>
      <family val="0"/>
      <b val="1"/>
      <color rgb="FF111827"/>
      <sz val="28"/>
    </font>
    <font>
      <name val="Calibri"/>
      <charset val="1"/>
      <family val="0"/>
      <color rgb="FF6B7280"/>
      <sz val="10"/>
    </font>
    <font>
      <name val="Calibri"/>
      <charset val="1"/>
      <family val="0"/>
      <b val="1"/>
      <color rgb="FF0F766E"/>
      <sz val="14"/>
    </font>
    <font>
      <name val="Calibri"/>
      <charset val="1"/>
      <family val="0"/>
      <b val="1"/>
      <color rgb="FF0F766E"/>
      <sz val="10"/>
    </font>
    <font>
      <name val="Calibri"/>
      <charset val="1"/>
      <family val="0"/>
      <color rgb="FF374151"/>
      <sz val="10"/>
    </font>
    <font>
      <name val="Calibri"/>
      <charset val="1"/>
      <family val="0"/>
      <b val="1"/>
      <color rgb="FF0F766E"/>
      <sz val="11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b val="1"/>
      <color rgb="FF0F766E"/>
      <sz val="18"/>
    </font>
    <font>
      <name val="Calibri"/>
      <charset val="1"/>
      <family val="0"/>
      <i val="1"/>
      <color rgb="FF6B7280"/>
      <sz val="10"/>
    </font>
    <font>
      <name val="Calibri"/>
      <charset val="1"/>
      <family val="0"/>
      <b val="1"/>
      <color rgb="FF0F766E"/>
      <sz val="13"/>
    </font>
    <font>
      <name val="Calibri"/>
      <charset val="1"/>
      <family val="0"/>
      <color rgb="FF111827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11827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family val="0"/>
      <b val="1"/>
      <color rgb="FF0F766E"/>
      <sz val="16"/>
    </font>
    <font>
      <name val="Calibri"/>
      <charset val="1"/>
      <family val="0"/>
      <color rgb="FF111827"/>
      <sz val="10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  <font>
      <name val="Calibri"/>
      <sz val="10"/>
    </font>
    <font>
      <name val="Calibri"/>
      <b val="1"/>
      <color rgb="000F766E"/>
      <sz val="10"/>
    </font>
    <font>
      <name val="Calibri"/>
      <b val="1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FF0F766E"/>
        <bgColor rgb="FF0D9488"/>
      </patternFill>
    </fill>
    <fill>
      <patternFill patternType="solid">
        <fgColor rgb="FF0D9488"/>
        <bgColor rgb="FF0F766E"/>
      </patternFill>
    </fill>
    <fill>
      <patternFill patternType="solid">
        <fgColor rgb="FF10B981"/>
        <bgColor rgb="FF0D9488"/>
      </patternFill>
    </fill>
    <fill>
      <patternFill patternType="solid">
        <fgColor rgb="FFFFFFFF"/>
        <bgColor rgb="FFF9FAFB"/>
      </patternFill>
    </fill>
    <fill>
      <patternFill patternType="solid">
        <fgColor rgb="FFF9FAFB"/>
        <bgColor rgb="FFF9F9F9"/>
      </patternFill>
    </fill>
    <fill>
      <patternFill patternType="solid">
        <fgColor rgb="FFE6FFFA"/>
        <bgColor rgb="FFF0FDFA"/>
      </patternFill>
    </fill>
    <fill>
      <patternFill patternType="solid">
        <fgColor rgb="FFF0FDFA"/>
        <bgColor rgb="FFF9FAFB"/>
      </patternFill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  <fill>
      <patternFill patternType="solid">
        <fgColor rgb="00F0FDFA"/>
      </patternFill>
    </fill>
  </fills>
  <borders count="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25" fillId="9" borderId="6" applyAlignment="1" pivotButton="0" quotePrefix="0" xfId="0">
      <alignment horizontal="center" vertical="center" wrapText="1"/>
    </xf>
    <xf numFmtId="0" fontId="26" fillId="0" borderId="6" applyAlignment="1" pivotButton="0" quotePrefix="0" xfId="0">
      <alignment horizontal="left" vertical="center"/>
    </xf>
    <xf numFmtId="0" fontId="26" fillId="0" borderId="6" applyAlignment="1" pivotButton="0" quotePrefix="0" xfId="0">
      <alignment horizontal="right" vertical="center"/>
    </xf>
    <xf numFmtId="0" fontId="27" fillId="10" borderId="6" applyAlignment="1" pivotButton="0" quotePrefix="0" xfId="0">
      <alignment horizontal="right" vertical="center"/>
    </xf>
    <xf numFmtId="0" fontId="26" fillId="11" borderId="6" applyAlignment="1" pivotButton="0" quotePrefix="0" xfId="0">
      <alignment horizontal="left" vertical="center"/>
    </xf>
    <xf numFmtId="0" fontId="26" fillId="11" borderId="6" applyAlignment="1" pivotButton="0" quotePrefix="0" xfId="0">
      <alignment horizontal="right" vertical="center"/>
    </xf>
    <xf numFmtId="0" fontId="28" fillId="12" borderId="6" applyAlignment="1" pivotButton="0" quotePrefix="0" xfId="0">
      <alignment horizontal="right" vertical="center"/>
    </xf>
    <xf numFmtId="166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left" vertical="top" wrapText="1"/>
    </xf>
    <xf numFmtId="2" fontId="29" fillId="0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right" vertical="center"/>
    </xf>
    <xf numFmtId="0" fontId="0" fillId="13" borderId="7" pivotButton="0" quotePrefix="0" xfId="0"/>
    <xf numFmtId="2" fontId="30" fillId="13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center" vertical="center" wrapText="1"/>
    </xf>
    <xf numFmtId="0" fontId="31" fillId="0" borderId="0" pivotButton="0" quotePrefix="0" xfId="0"/>
    <xf numFmtId="166" fontId="29" fillId="0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7280"/>
      <rgbColor rgb="FF800080"/>
      <rgbColor rgb="FF0F766E"/>
      <rgbColor rgb="FFD9D9D9"/>
      <rgbColor rgb="FF878787"/>
      <rgbColor rgb="FF93A9CE"/>
      <rgbColor rgb="FFAB4744"/>
      <rgbColor rgb="FFF9F9F9"/>
      <rgbColor rgb="FFCCFBF1"/>
      <rgbColor rgb="FF660066"/>
      <rgbColor rgb="FFDC853E"/>
      <rgbColor rgb="FF4F81BD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E6FFFA"/>
      <rgbColor rgb="FFF0FDFA"/>
      <rgbColor rgb="FFF9FAFB"/>
      <rgbColor rgb="FF99CCFF"/>
      <rgbColor rgb="FFD09493"/>
      <rgbColor rgb="FFCC99FF"/>
      <rgbColor rgb="FFFFCC99"/>
      <rgbColor rgb="FF4672A8"/>
      <rgbColor rgb="FF10B981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111827"/>
      <rgbColor rgb="FF333300"/>
      <rgbColor rgb="FF993300"/>
      <rgbColor rgb="FFBE4B48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'Consolidated Report'!D13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'Consolidated Report'!$B$14:$B$21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'Consolidated Report'!$D$14:$D$21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gapWidth val="150"/>
        <overlap val="0"/>
        <axId val="22410038"/>
        <axId val="43091451"/>
      </barChart>
      <catAx>
        <axId val="22410038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091451"/>
        <crosses val="autoZero"/>
        <auto val="1"/>
        <lblAlgn val="ctr"/>
        <lblOffset val="100"/>
        <noMultiLvlLbl val="0"/>
      </catAx>
      <valAx>
        <axId val="430914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Phase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241003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Share of Hours by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'Phase Comparison'!E4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'Phase Comparison'!$B$5:$B$12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'Phase Comparison'!$E$5:$E$12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Day Timeline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'Daily Rollup'!D4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'Daily Rollup'!$B$5:$B$14</f>
              <strCache>
                <ptCount val="10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</strCache>
            </strRef>
          </cat>
          <val>
            <numRef>
              <f>'Daily Rollup'!$D$5:$D$14</f>
              <numCache>
                <formatCode>0.00</formatCode>
                <ptCount val="10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636416"/>
        <axId val="8953223"/>
      </lineChart>
      <catAx>
        <axId val="436364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53223"/>
        <crosses val="autoZero"/>
        <auto val="1"/>
        <lblAlgn val="ctr"/>
        <lblOffset val="100"/>
        <noMultiLvlLbl val="0"/>
      </catAx>
      <valAx>
        <axId val="89532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6364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12</row>
      <rowOff>0</rowOff>
    </from>
    <to>
      <col>14</col>
      <colOff>38880</colOff>
      <row>26</row>
      <rowOff>446760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4</col>
      <colOff>966600</colOff>
      <row>37</row>
      <rowOff>128520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7</col>
      <colOff>0</colOff>
      <row>3</row>
      <rowOff>0</rowOff>
    </from>
    <to>
      <col>19</col>
      <colOff>581760</colOff>
      <row>12</row>
      <rowOff>227520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J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6" min="1" max="1"/>
    <col width="13" customWidth="1" style="56" min="2" max="11"/>
  </cols>
  <sheetData>
    <row r="2" ht="36" customHeight="1" s="57">
      <c r="B2" s="58" t="inlineStr">
        <is>
          <t>QA Nexus PM1</t>
        </is>
      </c>
    </row>
    <row r="3" ht="21.75" customHeight="1" s="57">
      <c r="B3" s="59" t="inlineStr">
        <is>
          <t>Work Hours Log + Project Summary</t>
        </is>
      </c>
    </row>
    <row r="4" ht="15" customHeight="1" s="57">
      <c r="B4" s="60" t="inlineStr">
        <is>
          <t>Owner: Yogesh Mohite (Sr QA + Admin) · Iksula Services Pvt Ltd · Reporting to: Akshay Panchal (QA Lead)</t>
        </is>
      </c>
    </row>
    <row r="5" ht="18" customHeight="1" s="57">
      <c r="B5" s="60" t="inlineStr">
        <is>
          <t>Period covered: 2026-04-17 → 2026-04-27 (11 days) · Operating window: 10 AM – 10 PM IST · Report generated: 2026-04-27 22:01</t>
        </is>
      </c>
    </row>
    <row r="7" ht="4.5" customHeight="1" s="57">
      <c r="B7" s="61" t="n"/>
      <c r="C7" s="61" t="n"/>
      <c r="D7" s="61" t="n"/>
      <c r="E7" s="61" t="n"/>
      <c r="F7" s="61" t="n"/>
      <c r="G7" s="61" t="n"/>
      <c r="H7" s="62" t="n"/>
      <c r="I7" s="62" t="n"/>
    </row>
    <row r="8" ht="36" customHeight="1" s="57">
      <c r="B8" s="63" t="inlineStr">
        <is>
          <t>49.89</t>
        </is>
      </c>
      <c r="C8" s="64" t="n"/>
      <c r="D8" s="63" t="inlineStr">
        <is>
          <t>55</t>
        </is>
      </c>
      <c r="E8" s="64" t="n"/>
      <c r="F8" s="63" t="inlineStr">
        <is>
          <t>10</t>
        </is>
      </c>
      <c r="G8" s="64" t="n"/>
      <c r="H8" s="63" t="inlineStr">
        <is>
          <t>$0.00</t>
        </is>
      </c>
      <c r="I8" s="64" t="n"/>
    </row>
    <row r="9" ht="15" customHeight="1" s="57">
      <c r="B9" s="65" t="inlineStr">
        <is>
          <t>Total Hours Logged</t>
        </is>
      </c>
      <c r="C9" s="64" t="n"/>
      <c r="D9" s="65" t="inlineStr">
        <is>
          <t>Work Sessions</t>
        </is>
      </c>
      <c r="E9" s="64" t="n"/>
      <c r="F9" s="65" t="inlineStr">
        <is>
          <t>Active Days</t>
        </is>
      </c>
      <c r="G9" s="64" t="n"/>
      <c r="H9" s="65" t="inlineStr">
        <is>
          <t>Infra Cost (Free Tier)</t>
        </is>
      </c>
      <c r="I9" s="64" t="n"/>
    </row>
    <row r="10" ht="7.5" customHeight="1" s="57">
      <c r="B10" s="66" t="n"/>
      <c r="C10" s="66" t="n"/>
      <c r="D10" s="66" t="n"/>
      <c r="E10" s="66" t="n"/>
      <c r="F10" s="66" t="n"/>
      <c r="G10" s="66" t="n"/>
      <c r="H10" s="66" t="n"/>
      <c r="I10" s="66" t="n"/>
    </row>
    <row r="12" ht="24" customHeight="1" s="57">
      <c r="B12" s="67" t="inlineStr">
        <is>
          <t>What this workbook contains</t>
        </is>
      </c>
    </row>
    <row r="13" ht="18" customHeight="1" s="57">
      <c r="B13" s="68" t="inlineStr">
        <is>
          <t xml:space="preserve">  Consolidated Report</t>
        </is>
      </c>
      <c r="E13" s="69" t="inlineStr">
        <is>
          <t>Management-ready summary — what was built, hours by phase, key deliverables.</t>
        </is>
      </c>
    </row>
    <row r="14" ht="18" customHeight="1" s="57">
      <c r="B14" s="70" t="inlineStr">
        <is>
          <t xml:space="preserve">  Phase Comparison</t>
        </is>
      </c>
      <c r="E14" s="71" t="inlineStr">
        <is>
          <t>Side-by-side hours per phase with bar chart.</t>
        </is>
      </c>
    </row>
    <row r="15" ht="18" customHeight="1" s="57">
      <c r="B15" s="68" t="inlineStr">
        <is>
          <t xml:space="preserve">  Daily Rollup</t>
        </is>
      </c>
      <c r="E15" s="69" t="inlineStr">
        <is>
          <t>Per-day total hours with timeline chart.</t>
        </is>
      </c>
    </row>
    <row r="16" ht="18" customHeight="1" s="57">
      <c r="B16" s="70" t="inlineStr">
        <is>
          <t xml:space="preserve">  Idea Confirmation</t>
        </is>
      </c>
      <c r="E16" s="71" t="inlineStr">
        <is>
          <t>Phase 1 sessions — vision, market research, problem statement, mockups.</t>
        </is>
      </c>
    </row>
    <row r="17" ht="18" customHeight="1" s="57">
      <c r="B17" s="68" t="inlineStr">
        <is>
          <t xml:space="preserve">  Test Case Management Research</t>
        </is>
      </c>
      <c r="E17" s="69" t="inlineStr">
        <is>
          <t>Phase 2 sessions — TCM domain research, reporting, lifecycle docs.</t>
        </is>
      </c>
    </row>
    <row r="18" ht="18" customHeight="1" s="57">
      <c r="B18" s="70" t="inlineStr">
        <is>
          <t xml:space="preserve">  Test Automation &amp; Reporting</t>
        </is>
      </c>
      <c r="E18" s="71" t="inlineStr">
        <is>
          <t>Phase 3 sessions — BrowserStack AI Agents research + Word doc finalisation.</t>
        </is>
      </c>
    </row>
    <row r="19" ht="18" customHeight="1" s="57">
      <c r="B19" s="68" t="inlineStr">
        <is>
          <t xml:space="preserve">  Design &amp; Specifications</t>
        </is>
      </c>
      <c r="E19" s="69" t="inlineStr">
        <is>
          <t>Phase 4 sessions — PRD V4-V6, ERD, PM1 UI v2 (40+ locked HTML frames), Master Brainstorm, Tech Stack.</t>
        </is>
      </c>
    </row>
    <row r="20" ht="18" customHeight="1" s="57">
      <c r="B20" s="70" t="inlineStr">
        <is>
          <t xml:space="preserve">  Milestone Planning</t>
        </is>
      </c>
      <c r="E20" s="71" t="inlineStr">
        <is>
          <t>Phase 5 sessions — M0-M18 milestone decomposition, PM4 initiative charters, MILESTONE_REGISTRY.</t>
        </is>
      </c>
    </row>
    <row r="21" ht="18" customHeight="1" s="57">
      <c r="B21" s="68" t="inlineStr">
        <is>
          <t xml:space="preserve">  Launch Creative</t>
        </is>
      </c>
      <c r="E21" s="69" t="inlineStr">
        <is>
          <t>Phase 6 sessions — animated stack visualisation, LinkedIn poster + MP4 + launch post.</t>
        </is>
      </c>
    </row>
    <row r="22" ht="18" customHeight="1" s="57">
      <c r="B22" s="70" t="inlineStr">
        <is>
          <t xml:space="preserve">  Development</t>
        </is>
      </c>
      <c r="E22" s="71" t="inlineStr">
        <is>
          <t>Phase 7 sessions — Day-0 dev infra (Cloudflare, GitHub, hooks) + Day-1 actual code (Prisma schema, F07 wizard, Neon, 2 PRs merged).</t>
        </is>
      </c>
    </row>
    <row r="23" ht="18" customHeight="1" s="57">
      <c r="B23" s="68" t="inlineStr">
        <is>
          <t xml:space="preserve">  All Sessions (chronological)</t>
        </is>
      </c>
      <c r="E23" s="69" t="inlineStr">
        <is>
          <t>Complete chronological log — every session across every phase, sorted by date.</t>
        </is>
      </c>
    </row>
    <row r="26" ht="15" customHeight="1" s="57">
      <c r="B26" s="72" t="inlineStr">
        <is>
          <t>How hours are computed</t>
        </is>
      </c>
    </row>
    <row r="27" ht="15" customHeight="1" s="57">
      <c r="B27" s="73" t="inlineStr">
        <is>
          <t xml:space="preserve">  • All files in both project folders (AI Based QA Platform/ + Project10-QA_Nexus/) indexed by modification time.</t>
        </is>
      </c>
    </row>
    <row r="28" ht="15" customHeight="1" s="57">
      <c r="B28" s="73" t="inlineStr">
        <is>
          <t xml:space="preserve">  • Files modified within 60 minutes of each other are grouped into one work session.</t>
        </is>
      </c>
    </row>
    <row r="29" ht="15" customHeight="1" s="57">
      <c r="B29" s="73" t="inlineStr">
        <is>
          <t xml:space="preserve">  • Session duration = (last mtime − first mtime) + 15-min handling buffer; single-file sessions floor at 30 min.</t>
        </is>
      </c>
    </row>
    <row r="30" ht="15" customHeight="1" s="57">
      <c r="B30" s="73" t="inlineStr">
        <is>
          <t xml:space="preserve">  • File-evidence is a conservative floor — read-only research, video watching, and chat-only discussion don't write files.</t>
        </is>
      </c>
    </row>
    <row r="31" ht="15" customHeight="1" s="57">
      <c r="B31" s="73" t="inlineStr">
        <is>
          <t xml:space="preserve">  • True total likely 60-70+ hrs when chat/research time is included. This sheet shows the verifiable file-write time.</t>
        </is>
      </c>
    </row>
    <row r="33">
      <c r="A33" s="130" t="inlineStr">
        <is>
          <t>📚 CONSOLIDATION NOTE (added 2026-04-30 Day 4)</t>
        </is>
      </c>
    </row>
    <row r="34">
      <c r="A34" s="56" t="inlineStr">
        <is>
          <t>This workbook merges QA_Nexus_Work_Hours_Log.xlsx + Token_Savings_Log.xlsx into a single master.</t>
        </is>
      </c>
    </row>
    <row r="35">
      <c r="A35" s="56" t="inlineStr">
        <is>
          <t>Token sheets are prefixed 'Tokens —' (Sessions / Daily Rollup / Per-Chat Comparison).</t>
        </is>
      </c>
    </row>
    <row r="36">
      <c r="A36" s="56" t="inlineStr">
        <is>
          <t>Old Token_Savings_Log.xlsx deleted. Source-of-truth path is now docs/observability/QA_Nexus_Work_Log.xlsx in the project repo.</t>
        </is>
      </c>
    </row>
    <row r="37">
      <c r="A37" s="56" t="inlineStr">
        <is>
          <t>Days 2-4 entries in 'Development' + 'All Sessions' are EOD-aggregate placeholders — refine to per-session granularity using the existing Day 0/1 row format if/when needed.</t>
        </is>
      </c>
    </row>
    <row r="38">
      <c r="A38" s="56" t="inlineStr">
        <is>
          <t>Aggregator: scripts/update-work-log.py (auto-roll new sessions; see script header for usage).</t>
        </is>
      </c>
    </row>
  </sheetData>
  <mergeCells count="41">
    <mergeCell ref="E19:J19"/>
    <mergeCell ref="B14:D14"/>
    <mergeCell ref="B23:D23"/>
    <mergeCell ref="E13:J13"/>
    <mergeCell ref="B17:D17"/>
    <mergeCell ref="B13:D13"/>
    <mergeCell ref="H9:I9"/>
    <mergeCell ref="E15:J15"/>
    <mergeCell ref="B29:J29"/>
    <mergeCell ref="B19:D19"/>
    <mergeCell ref="B28:J28"/>
    <mergeCell ref="B15:D15"/>
    <mergeCell ref="B8:C8"/>
    <mergeCell ref="B30:J30"/>
    <mergeCell ref="B20:D20"/>
    <mergeCell ref="F8:G8"/>
    <mergeCell ref="E16:J16"/>
    <mergeCell ref="B5:J5"/>
    <mergeCell ref="E22:J22"/>
    <mergeCell ref="E18:J18"/>
    <mergeCell ref="B26:J26"/>
    <mergeCell ref="B4:J4"/>
    <mergeCell ref="B9:C9"/>
    <mergeCell ref="D9:E9"/>
    <mergeCell ref="E21:J21"/>
    <mergeCell ref="F9:G9"/>
    <mergeCell ref="B16:D16"/>
    <mergeCell ref="D8:E8"/>
    <mergeCell ref="B3:J3"/>
    <mergeCell ref="E14:J14"/>
    <mergeCell ref="B22:D22"/>
    <mergeCell ref="E17:J17"/>
    <mergeCell ref="E23:J23"/>
    <mergeCell ref="B18:D18"/>
    <mergeCell ref="B27:J27"/>
    <mergeCell ref="B31:J31"/>
    <mergeCell ref="B21:D21"/>
    <mergeCell ref="H8:I8"/>
    <mergeCell ref="B12:J12"/>
    <mergeCell ref="E20:J20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22" customWidth="1" style="56" min="2" max="2"/>
    <col width="12" customWidth="1" style="56" min="3" max="5"/>
    <col width="16" customWidth="1" style="56" min="6" max="9"/>
  </cols>
  <sheetData>
    <row r="2" ht="30" customHeight="1" s="57">
      <c r="B2" s="74" t="inlineStr">
        <is>
          <t>QA Nexus PM1 — Project Summary for Management</t>
        </is>
      </c>
    </row>
    <row r="3" ht="15" customHeight="1" s="57">
      <c r="B3" s="75" t="inlineStr">
        <is>
          <t>Yogesh Mohite (Sr QA + Admin) · 11-day report · 2026-04-17 → 2026-04-27 · Total: 49.89 verifiable hours, ~60-70 hrs including research/chat time</t>
        </is>
      </c>
    </row>
    <row r="5" ht="21.75" customHeight="1" s="57">
      <c r="B5" s="76" t="inlineStr">
        <is>
          <t>1. Executive Summary</t>
        </is>
      </c>
    </row>
    <row r="6" ht="25.5" customHeight="1" s="57">
      <c r="B6" s="77" t="inlineStr">
        <is>
          <t>Built an AI-native QA management platform for Iksula's 8-person QA team — from blank-page idea to a working Day-1 code base in 11 days. Validated the vision with market research and competitor analysis, locked the product spec (PRD v6), data model (ERD), and 18-milestone roadmap (PM1 MVP → v2 GA), designed 41 production-quality UI frames at 1600×1024, then shipped Day-1 development: 21-table Prisma schema with row-level security and pgvector indexes, F07 Founder Onboarding 3-step wizard with deferred routing, full CI/CD pipeline, and 2 PRs merged into main — all on $0/month free-tier infra (Cloudflare Pages + Render + Neon + Groq + Resend). Skill-conformance audit raised methodology score from 18% → 89% on Day 1.</t>
        </is>
      </c>
    </row>
    <row r="7" ht="25.5" customHeight="1" s="57"/>
    <row r="8" ht="25.5" customHeight="1" s="57"/>
    <row r="9" ht="25.5" customHeight="1" s="57"/>
    <row r="11" ht="21.75" customHeight="1" s="57">
      <c r="B11" s="76" t="inlineStr">
        <is>
          <t>2. Hours by Phase</t>
        </is>
      </c>
    </row>
    <row r="13" ht="24" customHeight="1" s="57">
      <c r="B13" s="78" t="inlineStr">
        <is>
          <t>Phase</t>
        </is>
      </c>
      <c r="C13" s="78" t="inlineStr">
        <is>
          <t>Sessions</t>
        </is>
      </c>
      <c r="D13" s="78" t="inlineStr">
        <is>
          <t>Hours</t>
        </is>
      </c>
      <c r="E13" s="78" t="inlineStr">
        <is>
          <t>% of Total</t>
        </is>
      </c>
    </row>
    <row r="14" ht="15" customHeight="1" s="57">
      <c r="B14" s="79" t="inlineStr">
        <is>
          <t>Idea Confirmation</t>
        </is>
      </c>
      <c r="C14" s="80" t="n">
        <v>2</v>
      </c>
      <c r="D14" s="81" t="n">
        <v>3.87</v>
      </c>
      <c r="E14" s="82" t="n">
        <v>0.07757065544197229</v>
      </c>
    </row>
    <row r="15" ht="15" customHeight="1" s="57">
      <c r="B15" s="83" t="inlineStr">
        <is>
          <t>Test Case Management Research</t>
        </is>
      </c>
      <c r="C15" s="84" t="n">
        <v>3</v>
      </c>
      <c r="D15" s="85" t="n">
        <v>1.66</v>
      </c>
      <c r="E15" s="86" t="n">
        <v>0.033273201042293</v>
      </c>
    </row>
    <row r="16" ht="15" customHeight="1" s="57">
      <c r="B16" s="79" t="inlineStr">
        <is>
          <t>Test Automation &amp; Reporting</t>
        </is>
      </c>
      <c r="C16" s="80" t="n">
        <v>2</v>
      </c>
      <c r="D16" s="81" t="n">
        <v>2.01</v>
      </c>
      <c r="E16" s="82" t="n">
        <v>0.0402886349969934</v>
      </c>
    </row>
    <row r="17" ht="15" customHeight="1" s="57">
      <c r="B17" s="83" t="inlineStr">
        <is>
          <t>Design &amp; Specifications</t>
        </is>
      </c>
      <c r="C17" s="84" t="n">
        <v>22</v>
      </c>
      <c r="D17" s="85" t="n">
        <v>17.89</v>
      </c>
      <c r="E17" s="86" t="n">
        <v>0.358588895570255</v>
      </c>
    </row>
    <row r="18" ht="15" customHeight="1" s="57">
      <c r="B18" s="79" t="inlineStr">
        <is>
          <t>Milestone Planning</t>
        </is>
      </c>
      <c r="C18" s="80" t="n">
        <v>12</v>
      </c>
      <c r="D18" s="81" t="n">
        <v>6.74</v>
      </c>
      <c r="E18" s="82" t="n">
        <v>0.135097213870515</v>
      </c>
    </row>
    <row r="19" ht="15" customHeight="1" s="57">
      <c r="B19" s="83" t="inlineStr">
        <is>
          <t>Launch Creative</t>
        </is>
      </c>
      <c r="C19" s="84" t="n">
        <v>1</v>
      </c>
      <c r="D19" s="85" t="n">
        <v>1.23</v>
      </c>
      <c r="E19" s="86" t="n">
        <v>0.0246542393265183</v>
      </c>
    </row>
    <row r="20" ht="15" customHeight="1" s="57">
      <c r="B20" s="79" t="inlineStr">
        <is>
          <t>Development</t>
        </is>
      </c>
      <c r="C20" s="80" t="n">
        <v>9</v>
      </c>
      <c r="D20" s="81" t="n">
        <v>13.84</v>
      </c>
      <c r="E20" s="82" t="n">
        <v>0.277410302665865</v>
      </c>
    </row>
    <row r="21" ht="15" customHeight="1" s="57">
      <c r="B21" s="83" t="inlineStr">
        <is>
          <t>Other</t>
        </is>
      </c>
      <c r="C21" s="84" t="n">
        <v>4</v>
      </c>
      <c r="D21" s="85" t="n">
        <v>2.65</v>
      </c>
      <c r="E21" s="86" t="n">
        <v>0.0531168570855883</v>
      </c>
    </row>
    <row r="22" ht="15" customHeight="1" s="57">
      <c r="B22" s="87" t="inlineStr">
        <is>
          <t>TOTAL</t>
        </is>
      </c>
      <c r="C22" s="88">
        <f>SUM(C14:C21)</f>
        <v/>
      </c>
      <c r="D22" s="89">
        <f>SUM(D14:D21)</f>
        <v/>
      </c>
      <c r="E22" s="90" t="n">
        <v>1</v>
      </c>
    </row>
    <row r="25" ht="21.75" customHeight="1" s="57">
      <c r="B25" s="76" t="inlineStr">
        <is>
          <t>3. Key Deliverables Shipped</t>
        </is>
      </c>
    </row>
    <row r="26" ht="37.5" customHeight="1" s="57">
      <c r="B26" s="91" t="inlineStr">
        <is>
          <t>Strategic</t>
        </is>
      </c>
      <c r="C26" s="64" t="n"/>
      <c r="D26" s="92" t="inlineStr">
        <is>
          <t>Vision · Market Research (2026 update) · Future Outlook · Problem Statement · Solution Design · Competitive Analysis HTML · Master Brainstorm</t>
        </is>
      </c>
      <c r="E26" s="93" t="n"/>
      <c r="F26" s="93" t="n"/>
      <c r="G26" s="93" t="n"/>
      <c r="H26" s="93" t="n"/>
      <c r="I26" s="64" t="n"/>
    </row>
    <row r="27" ht="37.5" customHeight="1" s="57">
      <c r="B27" s="94" t="inlineStr">
        <is>
          <t>Specifications</t>
        </is>
      </c>
      <c r="C27" s="64" t="n"/>
      <c r="D27" s="95" t="inlineStr">
        <is>
          <t>PRD V4 → V5 → V6 (Blueprint Forge depth) · ERD (full data model, 21+ tables, service groups, RBAC, agent tags, ID registry) · Tech Stack research doc</t>
        </is>
      </c>
      <c r="E27" s="93" t="n"/>
      <c r="F27" s="93" t="n"/>
      <c r="G27" s="93" t="n"/>
      <c r="H27" s="93" t="n"/>
      <c r="I27" s="64" t="n"/>
    </row>
    <row r="28" ht="37.5" customHeight="1" s="57">
      <c r="B28" s="91" t="inlineStr">
        <is>
          <t>Roadmap</t>
        </is>
      </c>
      <c r="C28" s="64" t="n"/>
      <c r="D28" s="92" t="inlineStr">
        <is>
          <t>18 milestones (M0–M18) with markdown + DOCX exports + workflow diagrams + risk/Gantt charts · 6 PM4 initiative charters · MILESTONE_REGISTRY.md · PROJECT_ROADMAP.md</t>
        </is>
      </c>
      <c r="E28" s="93" t="n"/>
      <c r="F28" s="93" t="n"/>
      <c r="G28" s="93" t="n"/>
      <c r="H28" s="93" t="n"/>
      <c r="I28" s="64" t="n"/>
    </row>
    <row r="29" ht="37.5" customHeight="1" s="57">
      <c r="B29" s="94" t="inlineStr">
        <is>
          <t>Design</t>
        </is>
      </c>
      <c r="C29" s="64" t="n"/>
      <c r="D29" s="95" t="inlineStr">
        <is>
          <t>41 locked HTML frames at 1600×1024 (F06 → F28 + F06b/c, F07b/c/d, F14m1/2/3, F16a/b/c, F18m1, F26m1, F27m1, F28m1) · PM1 design system + UI tokens</t>
        </is>
      </c>
      <c r="E29" s="93" t="n"/>
      <c r="F29" s="93" t="n"/>
      <c r="G29" s="93" t="n"/>
      <c r="H29" s="93" t="n"/>
      <c r="I29" s="64" t="n"/>
    </row>
    <row r="30" ht="37.5" customHeight="1" s="57">
      <c r="B30" s="91" t="inlineStr">
        <is>
          <t>Launch Creative</t>
        </is>
      </c>
      <c r="C30" s="64" t="n"/>
      <c r="D30" s="92" t="inlineStr">
        <is>
          <t>Animated stack visualisation (3 versions) · LinkedIn poster (PNG + PDF) · MP4 launch video · LINKEDIN_LAUNCH_POST.md copy</t>
        </is>
      </c>
      <c r="E30" s="93" t="n"/>
      <c r="F30" s="93" t="n"/>
      <c r="G30" s="93" t="n"/>
      <c r="H30" s="93" t="n"/>
      <c r="I30" s="64" t="n"/>
    </row>
    <row r="31" ht="37.5" customHeight="1" s="57">
      <c r="B31" s="94" t="inlineStr">
        <is>
          <t>Day-0 Infra</t>
        </is>
      </c>
      <c r="C31" s="64" t="n"/>
      <c r="D31" s="95" t="inlineStr">
        <is>
          <t>Cloudflare account + Pages project (qa-nexus-web) · GitHub corporate repo (private) · 5 PreToolUse hooks (block-dangerous, design-tokens, pm1-stack, RWD, secrets) · CLAUDE_KICKOFF_PROMPT.md · 98-entry permission allow-list</t>
        </is>
      </c>
      <c r="E31" s="93" t="n"/>
      <c r="F31" s="93" t="n"/>
      <c r="G31" s="93" t="n"/>
      <c r="H31" s="93" t="n"/>
      <c r="I31" s="64" t="n"/>
    </row>
    <row r="32" ht="37.5" customHeight="1" s="57">
      <c r="B32" s="91" t="inlineStr">
        <is>
          <t>Day-1 Development</t>
        </is>
      </c>
      <c r="C32" s="64" t="n"/>
      <c r="D32" s="92" t="inlineStr">
        <is>
          <t>Prisma schema 21 tables + 18 enums + RLS on 20 tables + 2 HNSW indexes (m=16, ef=64) + 8-user pilot seed · F07 Founder Onboarding 3-step wizard with Pattern A deferred routing · Neon Postgres provisioned (Singapore, PG 15.16) · 2 PRs merged · CI/CD green · skill conformance 18% → 89%</t>
        </is>
      </c>
      <c r="E32" s="93" t="n"/>
      <c r="F32" s="93" t="n"/>
      <c r="G32" s="93" t="n"/>
      <c r="H32" s="93" t="n"/>
      <c r="I32" s="64" t="n"/>
    </row>
    <row r="34" ht="21.75" customHeight="1" s="57">
      <c r="B34" s="76" t="inlineStr">
        <is>
          <t>4. Cost Posture (binding $0/month constraint)</t>
        </is>
      </c>
    </row>
    <row r="35" ht="21.75" customHeight="1" s="57">
      <c r="B35" s="77" t="inlineStr">
        <is>
          <t>Every infrastructure component runs on free-tier hosting confirmed at $0/month: Cloudflare Pages (frontend, unlimited bandwidth) + Render Hobby (NestJS API, 750 hr/mo) + Neon Postgres (0.5 GB, currently 1.72% used) + Cloudflare R2 (10 GB storage) + Resend (3,000 emails/mo) + Groq API (1k RPD primary + 14.4k RPD fast) + Gemini fallback + Grafana Cloud (observability) + Better Stack (alerting) + UptimeRobot (keep-alive). Total monthly spend confirmed: $0.00.</t>
        </is>
      </c>
    </row>
    <row r="36" ht="21.75" customHeight="1" s="57"/>
    <row r="37" ht="21.75" customHeight="1" s="57"/>
    <row r="38" ht="21.75" customHeight="1" s="57"/>
    <row r="40" ht="21.75" customHeight="1" s="57">
      <c r="B40" s="76" t="inlineStr">
        <is>
          <t>5. M0 Setup Milestone Progress</t>
        </is>
      </c>
    </row>
    <row r="41" ht="21.75" customHeight="1" s="57">
      <c r="B41" s="77" t="inlineStr">
        <is>
          <t>M0 Setup milestone (target 2026-05-10): ~14 of 34 tasks complete (~40% by task count, ~26% by estimated hours). Day 1 closed P0 critical-path work — schema, F06 Sign In, F07 Onboarding, hooks, CI. Day 2 chain: BetterAuth integration → RBAC middleware → LLM gateway (Groq + Gemini) → Embedding service. Hosting deploys (Render API, R2 bucket, Resend domain, UptimeRobot keep-alive) targeted Days 4-5. Currently on or slightly ahead of schedule for the 2026-05-10 M0 exit gate.</t>
        </is>
      </c>
    </row>
    <row r="42" ht="21.75" customHeight="1" s="57"/>
    <row r="43" ht="21.75" customHeight="1" s="57"/>
    <row r="44" ht="21.75" customHeight="1" s="57"/>
  </sheetData>
  <mergeCells count="24">
    <mergeCell ref="D27:I27"/>
    <mergeCell ref="B25:I25"/>
    <mergeCell ref="D32:I32"/>
    <mergeCell ref="B3:I3"/>
    <mergeCell ref="B31:C31"/>
    <mergeCell ref="B27:C27"/>
    <mergeCell ref="D28:I28"/>
    <mergeCell ref="B11:I11"/>
    <mergeCell ref="B2:I2"/>
    <mergeCell ref="B6:I9"/>
    <mergeCell ref="D30:I30"/>
    <mergeCell ref="B29:C29"/>
    <mergeCell ref="D29:I29"/>
    <mergeCell ref="B34:I34"/>
    <mergeCell ref="B28:C28"/>
    <mergeCell ref="B41:I44"/>
    <mergeCell ref="B35:I38"/>
    <mergeCell ref="D26:I26"/>
    <mergeCell ref="B40:I40"/>
    <mergeCell ref="B30:C30"/>
    <mergeCell ref="D31:I31"/>
    <mergeCell ref="B5:I5"/>
    <mergeCell ref="B32:C32"/>
    <mergeCell ref="B26:C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36" customWidth="1" style="56" min="2" max="2"/>
    <col width="16" customWidth="1" style="56" min="3" max="8"/>
  </cols>
  <sheetData>
    <row r="2" ht="27.75" customHeight="1" s="57">
      <c r="B2" s="96" t="inlineStr">
        <is>
          <t>Phase Comparison — Hours, Sessions, Days</t>
        </is>
      </c>
    </row>
    <row r="4" ht="27.75" customHeight="1" s="57">
      <c r="B4" s="78" t="inlineStr">
        <is>
          <t>Phase</t>
        </is>
      </c>
      <c r="C4" s="78" t="inlineStr">
        <is>
          <t>Sessions</t>
        </is>
      </c>
      <c r="D4" s="78" t="inlineStr">
        <is>
          <t>Active Days</t>
        </is>
      </c>
      <c r="E4" s="78" t="inlineStr">
        <is>
          <t>Total Hours</t>
        </is>
      </c>
      <c r="F4" s="78" t="inlineStr">
        <is>
          <t>Avg Hrs/Session</t>
        </is>
      </c>
      <c r="G4" s="78" t="inlineStr">
        <is>
          <t>Avg Hrs/Day</t>
        </is>
      </c>
      <c r="H4" s="78" t="inlineStr">
        <is>
          <t>% of Project</t>
        </is>
      </c>
    </row>
    <row r="5" ht="15" customHeight="1" s="57">
      <c r="B5" s="79" t="inlineStr">
        <is>
          <t>Idea Confirmation</t>
        </is>
      </c>
      <c r="C5" s="80" t="n">
        <v>2</v>
      </c>
      <c r="D5" s="80" t="n">
        <v>2</v>
      </c>
      <c r="E5" s="81" t="n">
        <v>3.87</v>
      </c>
      <c r="F5" s="81" t="n">
        <v>1.94</v>
      </c>
      <c r="G5" s="81" t="n">
        <v>1.94</v>
      </c>
      <c r="H5" s="82" t="n">
        <v>0.07757065544197229</v>
      </c>
    </row>
    <row r="6" ht="15" customHeight="1" s="57">
      <c r="B6" s="83" t="inlineStr">
        <is>
          <t>Test Case Management Research</t>
        </is>
      </c>
      <c r="C6" s="84" t="n">
        <v>3</v>
      </c>
      <c r="D6" s="84" t="n">
        <v>2</v>
      </c>
      <c r="E6" s="85" t="n">
        <v>1.66</v>
      </c>
      <c r="F6" s="85" t="n">
        <v>0.55</v>
      </c>
      <c r="G6" s="85" t="n">
        <v>0.83</v>
      </c>
      <c r="H6" s="86" t="n">
        <v>0.033273201042293</v>
      </c>
    </row>
    <row r="7" ht="15" customHeight="1" s="57">
      <c r="B7" s="79" t="inlineStr">
        <is>
          <t>Test Automation &amp; Reporting</t>
        </is>
      </c>
      <c r="C7" s="80" t="n">
        <v>2</v>
      </c>
      <c r="D7" s="80" t="n">
        <v>2</v>
      </c>
      <c r="E7" s="81" t="n">
        <v>2.01</v>
      </c>
      <c r="F7" s="81" t="n">
        <v>1</v>
      </c>
      <c r="G7" s="81" t="n">
        <v>1</v>
      </c>
      <c r="H7" s="82" t="n">
        <v>0.0402886349969934</v>
      </c>
    </row>
    <row r="8" ht="15" customHeight="1" s="57">
      <c r="B8" s="83" t="inlineStr">
        <is>
          <t>Design &amp; Specifications</t>
        </is>
      </c>
      <c r="C8" s="84" t="n">
        <v>22</v>
      </c>
      <c r="D8" s="84" t="n">
        <v>8</v>
      </c>
      <c r="E8" s="85" t="n">
        <v>17.89</v>
      </c>
      <c r="F8" s="85" t="n">
        <v>0.8100000000000001</v>
      </c>
      <c r="G8" s="85" t="n">
        <v>2.24</v>
      </c>
      <c r="H8" s="86" t="n">
        <v>0.358588895570255</v>
      </c>
    </row>
    <row r="9" ht="15" customHeight="1" s="57">
      <c r="B9" s="79" t="inlineStr">
        <is>
          <t>Milestone Planning</t>
        </is>
      </c>
      <c r="C9" s="80" t="n">
        <v>12</v>
      </c>
      <c r="D9" s="80" t="n">
        <v>7</v>
      </c>
      <c r="E9" s="81" t="n">
        <v>6.74</v>
      </c>
      <c r="F9" s="81" t="n">
        <v>0.5600000000000001</v>
      </c>
      <c r="G9" s="81" t="n">
        <v>0.96</v>
      </c>
      <c r="H9" s="82" t="n">
        <v>0.135097213870515</v>
      </c>
    </row>
    <row r="10" ht="15" customHeight="1" s="57">
      <c r="B10" s="83" t="inlineStr">
        <is>
          <t>Launch Creative</t>
        </is>
      </c>
      <c r="C10" s="84" t="n">
        <v>1</v>
      </c>
      <c r="D10" s="84" t="n">
        <v>1</v>
      </c>
      <c r="E10" s="85" t="n">
        <v>1.23</v>
      </c>
      <c r="F10" s="85" t="n">
        <v>1.23</v>
      </c>
      <c r="G10" s="85" t="n">
        <v>1.23</v>
      </c>
      <c r="H10" s="86" t="n">
        <v>0.0246542393265183</v>
      </c>
    </row>
    <row r="11" ht="15" customHeight="1" s="57">
      <c r="B11" s="79" t="inlineStr">
        <is>
          <t>Development</t>
        </is>
      </c>
      <c r="C11" s="80" t="n">
        <v>9</v>
      </c>
      <c r="D11" s="80" t="n">
        <v>4</v>
      </c>
      <c r="E11" s="81" t="n">
        <v>13.84</v>
      </c>
      <c r="F11" s="81" t="n">
        <v>1.54</v>
      </c>
      <c r="G11" s="81" t="n">
        <v>3.46</v>
      </c>
      <c r="H11" s="82" t="n">
        <v>0.277410302665865</v>
      </c>
    </row>
    <row r="12" ht="15" customHeight="1" s="57">
      <c r="B12" s="83" t="inlineStr">
        <is>
          <t>Other</t>
        </is>
      </c>
      <c r="C12" s="84" t="n">
        <v>4</v>
      </c>
      <c r="D12" s="84" t="n">
        <v>3</v>
      </c>
      <c r="E12" s="85" t="n">
        <v>2.65</v>
      </c>
      <c r="F12" s="85" t="n">
        <v>0.66</v>
      </c>
      <c r="G12" s="85" t="n">
        <v>0.88</v>
      </c>
      <c r="H12" s="86" t="n">
        <v>0.0531168570855883</v>
      </c>
    </row>
    <row r="13" ht="15" customHeight="1" s="57">
      <c r="B13" s="87" t="inlineStr">
        <is>
          <t>TOTAL</t>
        </is>
      </c>
      <c r="C13" s="88">
        <f>SUM(C5:C12)</f>
        <v/>
      </c>
      <c r="D13" s="88" t="n">
        <v>3</v>
      </c>
      <c r="E13" s="89">
        <f>SUM(E5:E12)</f>
        <v/>
      </c>
      <c r="F13" s="97" t="n"/>
      <c r="G13" s="97" t="n"/>
      <c r="H13" s="90" t="n">
        <v>1</v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14" customWidth="1" style="56" min="2" max="2"/>
    <col width="12" customWidth="1" style="56" min="3" max="3"/>
    <col width="14" customWidth="1" style="56" min="4" max="4"/>
    <col width="12" customWidth="1" style="56" min="5" max="5"/>
    <col width="60" customWidth="1" style="56" min="6" max="6"/>
  </cols>
  <sheetData>
    <row r="2" ht="27.75" customHeight="1" s="57">
      <c r="B2" s="96" t="inlineStr">
        <is>
          <t>Daily Rollup — Hours per Day</t>
        </is>
      </c>
    </row>
    <row r="4" ht="25.5" customHeight="1" s="57">
      <c r="B4" s="78" t="inlineStr">
        <is>
          <t>Date</t>
        </is>
      </c>
      <c r="C4" s="78" t="inlineStr">
        <is>
          <t>Day</t>
        </is>
      </c>
      <c r="D4" s="78" t="inlineStr">
        <is>
          <t>Total Hours</t>
        </is>
      </c>
      <c r="E4" s="78" t="inlineStr">
        <is>
          <t>Sessions</t>
        </is>
      </c>
      <c r="F4" s="78" t="inlineStr">
        <is>
          <t>Phases Touched</t>
        </is>
      </c>
    </row>
    <row r="5" ht="30" customHeight="1" s="57">
      <c r="B5" s="98" t="n">
        <v>46129</v>
      </c>
      <c r="C5" s="99" t="inlineStr">
        <is>
          <t>Friday</t>
        </is>
      </c>
      <c r="D5" s="100" t="n">
        <v>3.37</v>
      </c>
      <c r="E5" s="99" t="n">
        <v>1</v>
      </c>
      <c r="F5" s="101" t="inlineStr">
        <is>
          <t>Idea Confirmation</t>
        </is>
      </c>
    </row>
    <row r="6" ht="30" customHeight="1" s="57">
      <c r="B6" s="102" t="n">
        <v>46130</v>
      </c>
      <c r="C6" s="103" t="inlineStr">
        <is>
          <t>Saturday</t>
        </is>
      </c>
      <c r="D6" s="104" t="n">
        <v>2.49</v>
      </c>
      <c r="E6" s="103" t="n">
        <v>3</v>
      </c>
      <c r="F6" s="105" t="inlineStr">
        <is>
          <t>Test Automation &amp; Reporting · Test Case Management Research</t>
        </is>
      </c>
    </row>
    <row r="7" ht="30" customHeight="1" s="57">
      <c r="B7" s="98" t="n">
        <v>46132</v>
      </c>
      <c r="C7" s="99" t="inlineStr">
        <is>
          <t>Monday</t>
        </is>
      </c>
      <c r="D7" s="100" t="n">
        <v>1.5</v>
      </c>
      <c r="E7" s="99" t="n">
        <v>3</v>
      </c>
      <c r="F7" s="101" t="inlineStr">
        <is>
          <t>Design &amp; Specifications · Idea Confirmation · Test Case Management Research</t>
        </is>
      </c>
    </row>
    <row r="8" ht="30" customHeight="1" s="57">
      <c r="B8" s="102" t="n">
        <v>46133</v>
      </c>
      <c r="C8" s="103" t="inlineStr">
        <is>
          <t>Tuesday</t>
        </is>
      </c>
      <c r="D8" s="104" t="n">
        <v>1.94</v>
      </c>
      <c r="E8" s="103" t="n">
        <v>3</v>
      </c>
      <c r="F8" s="105" t="inlineStr">
        <is>
          <t>Design &amp; Specifications · Milestone Planning</t>
        </is>
      </c>
    </row>
    <row r="9" ht="30" customHeight="1" s="57">
      <c r="B9" s="98" t="n">
        <v>46134</v>
      </c>
      <c r="C9" s="99" t="inlineStr">
        <is>
          <t>Wednesday</t>
        </is>
      </c>
      <c r="D9" s="100" t="n">
        <v>1.5</v>
      </c>
      <c r="E9" s="99" t="n">
        <v>3</v>
      </c>
      <c r="F9" s="101" t="inlineStr">
        <is>
          <t>Design &amp; Specifications · Milestone Planning</t>
        </is>
      </c>
    </row>
    <row r="10" ht="30" customHeight="1" s="57">
      <c r="B10" s="102" t="n">
        <v>46135</v>
      </c>
      <c r="C10" s="103" t="inlineStr">
        <is>
          <t>Thursday</t>
        </is>
      </c>
      <c r="D10" s="104" t="n">
        <v>6.81</v>
      </c>
      <c r="E10" s="103" t="n">
        <v>10</v>
      </c>
      <c r="F10" s="105" t="inlineStr">
        <is>
          <t>Design &amp; Specifications · Development · Milestone Planning · Other</t>
        </is>
      </c>
    </row>
    <row r="11" ht="30" customHeight="1" s="57">
      <c r="B11" s="98" t="n">
        <v>46136</v>
      </c>
      <c r="C11" s="99" t="inlineStr">
        <is>
          <t>Friday</t>
        </is>
      </c>
      <c r="D11" s="100" t="n">
        <v>5.99</v>
      </c>
      <c r="E11" s="99" t="n">
        <v>9</v>
      </c>
      <c r="F11" s="101" t="inlineStr">
        <is>
          <t>Design &amp; Specifications · Development · Milestone Planning · Other</t>
        </is>
      </c>
    </row>
    <row r="12" ht="30" customHeight="1" s="57">
      <c r="B12" s="102" t="n">
        <v>46137</v>
      </c>
      <c r="C12" s="103" t="inlineStr">
        <is>
          <t>Saturday</t>
        </is>
      </c>
      <c r="D12" s="104" t="n">
        <v>6.89</v>
      </c>
      <c r="E12" s="103" t="n">
        <v>6</v>
      </c>
      <c r="F12" s="105" t="inlineStr">
        <is>
          <t>Design &amp; Specifications · Milestone Planning</t>
        </is>
      </c>
    </row>
    <row r="13" ht="30" customHeight="1" s="57">
      <c r="B13" s="98" t="n">
        <v>46138</v>
      </c>
      <c r="C13" s="99" t="inlineStr">
        <is>
          <t>Sunday</t>
        </is>
      </c>
      <c r="D13" s="100" t="n">
        <v>9.359999999999999</v>
      </c>
      <c r="E13" s="99" t="n">
        <v>9</v>
      </c>
      <c r="F13" s="101" t="inlineStr">
        <is>
          <t>Design &amp; Specifications · Development · Launch Creative · Milestone Planning</t>
        </is>
      </c>
    </row>
    <row r="14" ht="30" customHeight="1" s="57">
      <c r="B14" s="102" t="n">
        <v>46139</v>
      </c>
      <c r="C14" s="103" t="inlineStr">
        <is>
          <t>Monday</t>
        </is>
      </c>
      <c r="D14" s="104" t="n">
        <v>10.04</v>
      </c>
      <c r="E14" s="103" t="n">
        <v>8</v>
      </c>
      <c r="F14" s="105" t="inlineStr">
        <is>
          <t>Design &amp; Specifications · Development · Milestone Planning · Other · Test Automation &amp; Reporting</t>
        </is>
      </c>
    </row>
    <row r="15" ht="15" customHeight="1" s="57">
      <c r="B15" s="106" t="inlineStr">
        <is>
          <t>TOTAL</t>
        </is>
      </c>
      <c r="C15" s="64" t="n"/>
      <c r="D15" s="89">
        <f>SUM(D5:D14)</f>
        <v/>
      </c>
      <c r="E15" s="88">
        <f>SUM(E5:E14)</f>
        <v/>
      </c>
      <c r="F15" s="97" t="n"/>
    </row>
  </sheetData>
  <mergeCells count="2">
    <mergeCell ref="B2:F2"/>
    <mergeCell ref="B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Idea Confirmation</t>
        </is>
      </c>
    </row>
    <row r="2" ht="18" customHeight="1" s="57">
      <c r="A2" s="75" t="inlineStr">
        <is>
          <t>Phase 1 — vision, market research, problem statement, solution design, mockups, competitive analysis, flow diagrams.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QA_Roles_Documents_Reference_Guide.md · QA_Nexus_Platform_Vision.md · problem-landscape.drawio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46132</v>
      </c>
      <c r="B7" s="99" t="inlineStr">
        <is>
          <t>Monday</t>
        </is>
      </c>
      <c r="C7" s="108" t="inlineStr">
        <is>
          <t>10:28 PM – 10:28 PM</t>
        </is>
      </c>
      <c r="D7" s="100" t="n">
        <v>0.5</v>
      </c>
      <c r="E7" s="99" t="n">
        <v>1</v>
      </c>
      <c r="F7" s="108" t="inlineStr">
        <is>
          <t>QA_Nexus_Brainstorm.md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Case Management Research</t>
        </is>
      </c>
    </row>
    <row r="2" ht="18" customHeight="1" s="57">
      <c r="A2" s="75" t="inlineStr">
        <is>
          <t>Phase 2 — test management &amp; optimization, test reporting &amp; analytics, automation/Playwright research, brainstorm, UI/UX design doc.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11:47 AM – 12:10 PM</t>
        </is>
      </c>
      <c r="D5" s="100" t="n">
        <v>0.63</v>
      </c>
      <c r="E5" s="99" t="n">
        <v>12</v>
      </c>
      <c r="F5" s="108" t="inlineStr">
        <is>
          <t>01_Test_Management_and_Optimization.md · 02_Test_Reporting_and_Analytics.md · 03_Automation_Playwright.md</t>
        </is>
      </c>
      <c r="G5" s="108" t="n"/>
    </row>
    <row r="6" ht="49.5" customHeight="1" s="57">
      <c r="A6" s="102" t="n">
        <v>46130</v>
      </c>
      <c r="B6" s="103" t="inlineStr">
        <is>
          <t>Saturday</t>
        </is>
      </c>
      <c r="C6" s="113" t="inlineStr">
        <is>
          <t>7:37 PM – 7:54 PM</t>
        </is>
      </c>
      <c r="D6" s="104" t="n">
        <v>0.53</v>
      </c>
      <c r="E6" s="103" t="n">
        <v>8</v>
      </c>
      <c r="F6" s="113" t="inlineStr">
        <is>
          <t>COMPETITOR_UI_RESEARCH.md · CONTEXTQA_ANALYSIS.md · DESIGN_INSPIRATION.md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46132</v>
      </c>
      <c r="B8" s="99" t="inlineStr">
        <is>
          <t>Monday</t>
        </is>
      </c>
      <c r="C8" s="108" t="inlineStr">
        <is>
          <t>8:21 PM – 8:21 PM</t>
        </is>
      </c>
      <c r="D8" s="100" t="n">
        <v>0.5</v>
      </c>
      <c r="E8" s="99" t="n">
        <v>1</v>
      </c>
      <c r="F8" s="108" t="inlineStr">
        <is>
          <t>brainstorm.md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15" customHeight="1" s="57">
      <c r="A10" s="106" t="inlineStr">
        <is>
          <t>GRAND TOTAL</t>
        </is>
      </c>
      <c r="B10" s="93" t="n"/>
      <c r="C10" s="64" t="n"/>
      <c r="D10" s="89">
        <f>SUM(D5:D6)+SUM(D8)</f>
        <v/>
      </c>
      <c r="E10" s="88">
        <f>SUM(E5:E6)+SUM(E8)</f>
        <v/>
      </c>
      <c r="F10" s="97" t="n"/>
      <c r="G10" s="97" t="n"/>
    </row>
  </sheetData>
  <mergeCells count="5">
    <mergeCell ref="A10:C10"/>
    <mergeCell ref="A1:G1"/>
    <mergeCell ref="A9:C9"/>
    <mergeCell ref="A2:G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Automation &amp; Reporting</t>
        </is>
      </c>
    </row>
    <row r="2" ht="18" customHeight="1" s="57">
      <c r="A2" s="75" t="inlineStr">
        <is>
          <t>Phase 3 — BrowserStack AI Agents research + masterclass video transcription + Word doc finalisation. (User-verified data.)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9:31 AM – 10:36 AM</t>
        </is>
      </c>
      <c r="D5" s="100" t="n">
        <v>1.33</v>
      </c>
      <c r="E5" s="99" t="n">
        <v>15</v>
      </c>
      <c r="F5" s="108" t="inlineStr">
        <is>
          <t>BrowserStack AI Agents Research &amp; Documentation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46139</v>
      </c>
      <c r="B7" s="99" t="inlineStr">
        <is>
          <t>Monday</t>
        </is>
      </c>
      <c r="C7" s="108" t="inlineStr">
        <is>
          <t>9:44 PM – 10:10 PM</t>
        </is>
      </c>
      <c r="D7" s="100" t="n">
        <v>0.68</v>
      </c>
      <c r="E7" s="99" t="n">
        <v>3</v>
      </c>
      <c r="F7" s="108" t="inlineStr">
        <is>
          <t>BrowserStack AI Agents — Document Finalisation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Design &amp; Specifications</t>
        </is>
      </c>
    </row>
    <row r="2" ht="18" customHeight="1" s="57">
      <c r="A2" s="75" t="inlineStr">
        <is>
          <t>Phase 4 — PRD V4-V6 (Blueprint Forge), ERD (full data model), 41 PM1 UI v2 locked HTML frames, master brainstorm, project analysis, tech stack research, kickoff prep.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46132</v>
      </c>
      <c r="B5" s="99" t="inlineStr">
        <is>
          <t>Monday</t>
        </is>
      </c>
      <c r="C5" s="108" t="inlineStr">
        <is>
          <t>9:22 PM – 9:22 PM</t>
        </is>
      </c>
      <c r="D5" s="100" t="n">
        <v>0.5</v>
      </c>
      <c r="E5" s="99" t="n">
        <v>1</v>
      </c>
      <c r="F5" s="108" t="inlineStr">
        <is>
          <t>wireframe.html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46133</v>
      </c>
      <c r="B7" s="99" t="inlineStr">
        <is>
          <t>Tuesday</t>
        </is>
      </c>
      <c r="C7" s="108" t="inlineStr">
        <is>
          <t>12:04 AM – 12:27 AM</t>
        </is>
      </c>
      <c r="D7" s="100" t="n">
        <v>0.62</v>
      </c>
      <c r="E7" s="99" t="n">
        <v>14</v>
      </c>
      <c r="F7" s="108" t="inlineStr">
        <is>
          <t>DESIGN.md · UI_PROMPT.md · PRD.drawio</t>
        </is>
      </c>
      <c r="G7" s="108" t="n"/>
    </row>
    <row r="8" ht="49.5" customHeight="1" s="57">
      <c r="A8" s="102" t="n">
        <v>46133</v>
      </c>
      <c r="B8" s="103" t="inlineStr">
        <is>
          <t>Tuesday</t>
        </is>
      </c>
      <c r="C8" s="113" t="inlineStr">
        <is>
          <t>11:06 AM – 11:06 AM</t>
        </is>
      </c>
      <c r="D8" s="104" t="n">
        <v>0.5</v>
      </c>
      <c r="E8" s="103" t="n">
        <v>14</v>
      </c>
      <c r="F8" s="113" t="inlineStr">
        <is>
          <t>goal_target_bar.png · goal_target_bar.png · priority_matrix.png</t>
        </is>
      </c>
      <c r="G8" s="113" t="n"/>
    </row>
    <row r="9" ht="49.5" customHeight="1" s="57">
      <c r="A9" s="109" t="inlineStr">
        <is>
          <t>Day total</t>
        </is>
      </c>
      <c r="B9" s="93" t="n"/>
      <c r="C9" s="64" t="n"/>
      <c r="D9" s="110">
        <f>SUM(D7:D8)</f>
        <v/>
      </c>
      <c r="E9" s="111">
        <f>SUM(E7:E8)</f>
        <v/>
      </c>
      <c r="F9" s="112" t="n"/>
      <c r="G9" s="112" t="n"/>
    </row>
    <row r="10" ht="49.5" customHeight="1" s="57">
      <c r="A10" s="98" t="n">
        <v>46134</v>
      </c>
      <c r="B10" s="99" t="inlineStr">
        <is>
          <t>Wednesday</t>
        </is>
      </c>
      <c r="C10" s="108" t="inlineStr">
        <is>
          <t>8:16 PM – 8:16 PM</t>
        </is>
      </c>
      <c r="D10" s="100" t="n">
        <v>0.5</v>
      </c>
      <c r="E10" s="99" t="n">
        <v>2</v>
      </c>
      <c r="F10" s="108" t="inlineStr">
        <is>
          <t>generate_prd_docx.py · generate_prd_docx.py</t>
        </is>
      </c>
      <c r="G10" s="108" t="n"/>
    </row>
    <row r="11" ht="49.5" customHeight="1" s="57">
      <c r="A11" s="102" t="n">
        <v>46134</v>
      </c>
      <c r="B11" s="103" t="inlineStr">
        <is>
          <t>Wednesday</t>
        </is>
      </c>
      <c r="C11" s="113" t="inlineStr">
        <is>
          <t>10:27 PM – 10:27 PM</t>
        </is>
      </c>
      <c r="D11" s="104" t="n">
        <v>0.5</v>
      </c>
      <c r="E11" s="103" t="n">
        <v>2</v>
      </c>
      <c r="F11" s="113" t="inlineStr">
        <is>
          <t>ERD.drawio · ERD.drawio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46135</v>
      </c>
      <c r="B13" s="99" t="inlineStr">
        <is>
          <t>Thursday</t>
        </is>
      </c>
      <c r="C13" s="108" t="inlineStr">
        <is>
          <t>10:30 AM – 10:30 AM</t>
        </is>
      </c>
      <c r="D13" s="100" t="n">
        <v>0.5</v>
      </c>
      <c r="E13" s="99" t="n">
        <v>1</v>
      </c>
      <c r="F13" s="108" t="inlineStr">
        <is>
          <t>MVP_PRD.md</t>
        </is>
      </c>
      <c r="G13" s="108" t="n"/>
    </row>
    <row r="14" ht="49.5" customHeight="1" s="57">
      <c r="A14" s="102" t="n">
        <v>46135</v>
      </c>
      <c r="B14" s="103" t="inlineStr">
        <is>
          <t>Thursday</t>
        </is>
      </c>
      <c r="C14" s="113" t="inlineStr">
        <is>
          <t>11:58 AM – 1:33 PM</t>
        </is>
      </c>
      <c r="D14" s="104" t="n">
        <v>1.82</v>
      </c>
      <c r="E14" s="103" t="n">
        <v>7</v>
      </c>
      <c r="F14" s="113" t="inlineStr">
        <is>
          <t>PROJECT_UI_UX_REDESIGN.md · PROJECT_UI_FRAME_MAP.md · PROJECT_UI_GENERATION_PROMPT.md</t>
        </is>
      </c>
      <c r="G14" s="113" t="n"/>
    </row>
    <row r="15" ht="49.5" customHeight="1" s="57">
      <c r="A15" s="98" t="n">
        <v>46135</v>
      </c>
      <c r="B15" s="99" t="inlineStr">
        <is>
          <t>Thursday</t>
        </is>
      </c>
      <c r="C15" s="108" t="inlineStr">
        <is>
          <t>2:54 PM – 2:54 PM</t>
        </is>
      </c>
      <c r="D15" s="100" t="n">
        <v>0.5</v>
      </c>
      <c r="E15" s="99" t="n">
        <v>53</v>
      </c>
      <c r="F15" s="108" t="inlineStr">
        <is>
          <t>code.html · screen.png · code.html</t>
        </is>
      </c>
      <c r="G15" s="108" t="n"/>
    </row>
    <row r="16" ht="49.5" customHeight="1" s="57">
      <c r="A16" s="102" t="n">
        <v>46135</v>
      </c>
      <c r="B16" s="103" t="inlineStr">
        <is>
          <t>Thursday</t>
        </is>
      </c>
      <c r="C16" s="113" t="inlineStr">
        <is>
          <t>5:59 PM – 6:18 PM</t>
        </is>
      </c>
      <c r="D16" s="104" t="n">
        <v>0.57</v>
      </c>
      <c r="E16" s="103" t="n">
        <v>29</v>
      </c>
      <c r="F16" s="113" t="inlineStr">
        <is>
          <t>NAVIGATION_CONTRACT.md · F06_Sign_In.md · F11_Source_Connect_Jira.md</t>
        </is>
      </c>
      <c r="G16" s="113" t="n"/>
    </row>
    <row r="17" ht="49.5" customHeight="1" s="57">
      <c r="A17" s="98" t="n">
        <v>46135</v>
      </c>
      <c r="B17" s="99" t="inlineStr">
        <is>
          <t>Thursday</t>
        </is>
      </c>
      <c r="C17" s="108" t="inlineStr">
        <is>
          <t>8:35 PM – 8:35 PM</t>
        </is>
      </c>
      <c r="D17" s="100" t="n">
        <v>0.5</v>
      </c>
      <c r="E17" s="99" t="n">
        <v>1</v>
      </c>
      <c r="F17" s="108" t="inlineStr">
        <is>
          <t>STITCH_DRIFT_AUDIT.md</t>
        </is>
      </c>
      <c r="G17" s="108" t="n"/>
    </row>
    <row r="18" ht="49.5" customHeight="1" s="57">
      <c r="A18" s="109" t="inlineStr">
        <is>
          <t>Day total</t>
        </is>
      </c>
      <c r="B18" s="93" t="n"/>
      <c r="C18" s="64" t="n"/>
      <c r="D18" s="110">
        <f>SUM(D13:D17)</f>
        <v/>
      </c>
      <c r="E18" s="111">
        <f>SUM(E13:E17)</f>
        <v/>
      </c>
      <c r="F18" s="112" t="n"/>
      <c r="G18" s="112" t="n"/>
    </row>
    <row r="19" ht="49.5" customHeight="1" s="57">
      <c r="A19" s="98" t="n">
        <v>46136</v>
      </c>
      <c r="B19" s="99" t="inlineStr">
        <is>
          <t>Friday</t>
        </is>
      </c>
      <c r="C19" s="108" t="inlineStr">
        <is>
          <t>11:51 AM – 12:28 PM</t>
        </is>
      </c>
      <c r="D19" s="100" t="n">
        <v>0.87</v>
      </c>
      <c r="E19" s="99" t="n">
        <v>16</v>
      </c>
      <c r="F19" s="108" t="inlineStr">
        <is>
          <t>01-home.html · 02-test-cases.html · 03-ai-generator.html</t>
        </is>
      </c>
      <c r="G19" s="108" t="n"/>
    </row>
    <row r="20" ht="49.5" customHeight="1" s="57">
      <c r="A20" s="102" t="n">
        <v>46136</v>
      </c>
      <c r="B20" s="103" t="inlineStr">
        <is>
          <t>Friday</t>
        </is>
      </c>
      <c r="C20" s="113" t="inlineStr">
        <is>
          <t>6:05 PM – 6:23 PM</t>
        </is>
      </c>
      <c r="D20" s="104" t="n">
        <v>0.55</v>
      </c>
      <c r="E20" s="103" t="n">
        <v>36</v>
      </c>
      <c r="F20" s="113" t="inlineStr">
        <is>
          <t>F07 First-Run Onboarding.html · F07 First-Run Onboarding.html · F06 Sign In.html</t>
        </is>
      </c>
      <c r="G20" s="113" t="n"/>
    </row>
    <row r="21" ht="49.5" customHeight="1" s="57">
      <c r="A21" s="98" t="n">
        <v>46136</v>
      </c>
      <c r="B21" s="99" t="inlineStr">
        <is>
          <t>Friday</t>
        </is>
      </c>
      <c r="C21" s="108" t="inlineStr">
        <is>
          <t>7:54 PM – 8:27 PM</t>
        </is>
      </c>
      <c r="D21" s="100" t="n">
        <v>0.8</v>
      </c>
      <c r="E21" s="99" t="n">
        <v>4</v>
      </c>
      <c r="F21" s="108" t="inlineStr">
        <is>
          <t>05_ANALYSE_AND_GOVERN.md · 05_ANALYSE_AND_GOVERN.md · 02_ENTRY_AND_HOME.md</t>
        </is>
      </c>
      <c r="G21" s="108" t="n"/>
    </row>
    <row r="22" ht="49.5" customHeight="1" s="57">
      <c r="A22" s="102" t="n">
        <v>46136</v>
      </c>
      <c r="B22" s="103" t="inlineStr">
        <is>
          <t>Friday</t>
        </is>
      </c>
      <c r="C22" s="113" t="inlineStr">
        <is>
          <t>9:51 PM – 9:51 PM</t>
        </is>
      </c>
      <c r="D22" s="104" t="n">
        <v>0.5</v>
      </c>
      <c r="E22" s="103" t="n">
        <v>2</v>
      </c>
      <c r="F22" s="113" t="inlineStr">
        <is>
          <t>PROJECT_UI_DESIGN_TOKENS.json · PROJECT_UI_DESIGN_TOKENS.json</t>
        </is>
      </c>
      <c r="G22" s="113" t="n"/>
    </row>
    <row r="23" ht="49.5" customHeight="1" s="57">
      <c r="A23" s="98" t="n">
        <v>46136</v>
      </c>
      <c r="B23" s="99" t="inlineStr">
        <is>
          <t>Friday</t>
        </is>
      </c>
      <c r="C23" s="108" t="inlineStr">
        <is>
          <t>11:11 PM – 12:12 AM</t>
        </is>
      </c>
      <c r="D23" s="100" t="n">
        <v>1.27</v>
      </c>
      <c r="E23" s="99" t="n">
        <v>16</v>
      </c>
      <c r="F23" s="108" t="inlineStr">
        <is>
          <t>F06b Set Reset Password.html · F06b Set Reset Password.html · F06c Reset Password.html</t>
        </is>
      </c>
      <c r="G23" s="108" t="n"/>
    </row>
    <row r="24" ht="49.5" customHeight="1" s="57">
      <c r="A24" s="109" t="inlineStr">
        <is>
          <t>Day total</t>
        </is>
      </c>
      <c r="B24" s="93" t="n"/>
      <c r="C24" s="64" t="n"/>
      <c r="D24" s="110">
        <f>SUM(D19:D23)</f>
        <v/>
      </c>
      <c r="E24" s="111">
        <f>SUM(E19:E23)</f>
        <v/>
      </c>
      <c r="F24" s="112" t="n"/>
      <c r="G24" s="112" t="n"/>
    </row>
    <row r="25" ht="49.5" customHeight="1" s="57">
      <c r="A25" s="98" t="n">
        <v>46137</v>
      </c>
      <c r="B25" s="99" t="inlineStr">
        <is>
          <t>Saturday</t>
        </is>
      </c>
      <c r="C25" s="108" t="inlineStr">
        <is>
          <t>8:26 AM – 8:26 AM</t>
        </is>
      </c>
      <c r="D25" s="100" t="n">
        <v>0.5</v>
      </c>
      <c r="E25" s="99" t="n">
        <v>2</v>
      </c>
      <c r="F25" s="108" t="inlineStr">
        <is>
          <t>F14m3 Convert to Jira Story Modal.html · F14m3 Convert to Jira Story Modal.html</t>
        </is>
      </c>
      <c r="G25" s="108" t="n"/>
    </row>
    <row r="26" ht="49.5" customHeight="1" s="57">
      <c r="A26" s="102" t="n">
        <v>46137</v>
      </c>
      <c r="B26" s="103" t="inlineStr">
        <is>
          <t>Saturday</t>
        </is>
      </c>
      <c r="C26" s="113" t="inlineStr">
        <is>
          <t>9:41 AM – 12:43 PM</t>
        </is>
      </c>
      <c r="D26" s="104" t="n">
        <v>3.27</v>
      </c>
      <c r="E26" s="103" t="n">
        <v>26</v>
      </c>
      <c r="F26" s="113" t="inlineStr">
        <is>
          <t>F15 Knowledge Base.html · F15 Knowledge Base.html · F16a Test Case Method Chooser.html</t>
        </is>
      </c>
      <c r="G26" s="113" t="n"/>
    </row>
    <row r="27" ht="49.5" customHeight="1" s="57">
      <c r="A27" s="98" t="n">
        <v>46137</v>
      </c>
      <c r="B27" s="99" t="inlineStr">
        <is>
          <t>Saturday</t>
        </is>
      </c>
      <c r="C27" s="108" t="inlineStr">
        <is>
          <t>9:21 PM – 10:43 PM</t>
        </is>
      </c>
      <c r="D27" s="100" t="n">
        <v>1.62</v>
      </c>
      <c r="E27" s="99" t="n">
        <v>20</v>
      </c>
      <c r="F27" s="108" t="inlineStr">
        <is>
          <t>QA_Nexus_Master_Brainstorm.md · QA_Nexus_Master_Brainstorm.md · project_analysis.md</t>
        </is>
      </c>
      <c r="G27" s="108" t="n"/>
    </row>
    <row r="28" ht="49.5" customHeight="1" s="57">
      <c r="A28" s="109" t="inlineStr">
        <is>
          <t>Day total</t>
        </is>
      </c>
      <c r="B28" s="93" t="n"/>
      <c r="C28" s="64" t="n"/>
      <c r="D28" s="110">
        <f>SUM(D25:D27)</f>
        <v/>
      </c>
      <c r="E28" s="111">
        <f>SUM(E25:E27)</f>
        <v/>
      </c>
      <c r="F28" s="112" t="n"/>
      <c r="G28" s="112" t="n"/>
    </row>
    <row r="29" ht="49.5" customHeight="1" s="57">
      <c r="A29" s="98" t="n">
        <v>46138</v>
      </c>
      <c r="B29" s="99" t="inlineStr">
        <is>
          <t>Sunday</t>
        </is>
      </c>
      <c r="C29" s="108" t="inlineStr">
        <is>
          <t>2:40 PM – 2:42 PM</t>
        </is>
      </c>
      <c r="D29" s="100" t="n">
        <v>0.5</v>
      </c>
      <c r="E29" s="99" t="n">
        <v>4</v>
      </c>
      <c r="F29" s="108" t="inlineStr">
        <is>
          <t>PRD.md · PRD.md · ERD.md</t>
        </is>
      </c>
      <c r="G29" s="108" t="n"/>
    </row>
    <row r="30" ht="49.5" customHeight="1" s="57">
      <c r="A30" s="102" t="n">
        <v>46138</v>
      </c>
      <c r="B30" s="103" t="inlineStr">
        <is>
          <t>Sunday</t>
        </is>
      </c>
      <c r="C30" s="113" t="inlineStr">
        <is>
          <t>3:57 PM – 3:58 PM</t>
        </is>
      </c>
      <c r="D30" s="104" t="n">
        <v>0.5</v>
      </c>
      <c r="E30" s="103" t="n">
        <v>2</v>
      </c>
      <c r="F30" s="113" t="inlineStr">
        <is>
          <t>PM1_ERD.md · PM1_ERD.md</t>
        </is>
      </c>
      <c r="G30" s="113" t="n"/>
    </row>
    <row r="31" ht="49.5" customHeight="1" s="57">
      <c r="A31" s="98" t="n">
        <v>46138</v>
      </c>
      <c r="B31" s="99" t="inlineStr">
        <is>
          <t>Sunday</t>
        </is>
      </c>
      <c r="C31" s="108" t="inlineStr">
        <is>
          <t>8:43 PM – 8:44 PM</t>
        </is>
      </c>
      <c r="D31" s="100" t="n">
        <v>0.5</v>
      </c>
      <c r="E31" s="99" t="n">
        <v>5</v>
      </c>
      <c r="F31" s="108" t="inlineStr">
        <is>
          <t>PM1_PRD.md · CLAUDE_KICKOFF_PROMPT.md · 01_SYSTEM.md</t>
        </is>
      </c>
      <c r="G31" s="108" t="n"/>
    </row>
    <row r="32" ht="49.5" customHeight="1" s="57">
      <c r="A32" s="109" t="inlineStr">
        <is>
          <t>Day total</t>
        </is>
      </c>
      <c r="B32" s="93" t="n"/>
      <c r="C32" s="64" t="n"/>
      <c r="D32" s="110">
        <f>SUM(D29:D31)</f>
        <v/>
      </c>
      <c r="E32" s="111">
        <f>SUM(E29:E31)</f>
        <v/>
      </c>
      <c r="F32" s="112" t="n"/>
      <c r="G32" s="112" t="n"/>
    </row>
    <row r="33" ht="49.5" customHeight="1" s="57">
      <c r="A33" s="98" t="n">
        <v>46139</v>
      </c>
      <c r="B33" s="99" t="inlineStr">
        <is>
          <t>Monday</t>
        </is>
      </c>
      <c r="C33" s="108" t="inlineStr">
        <is>
          <t>10:35 AM – 10:49 AM</t>
        </is>
      </c>
      <c r="D33" s="100" t="n">
        <v>0.5</v>
      </c>
      <c r="E33" s="99" t="n">
        <v>153</v>
      </c>
      <c r="F33" s="108" t="inlineStr">
        <is>
          <t>QA_Nexus_Tech_Stack.docx · ERD.docx · ERD.drawio</t>
        </is>
      </c>
      <c r="G33" s="108" t="n"/>
    </row>
    <row r="34" ht="49.5" customHeight="1" s="57">
      <c r="A34" s="109" t="inlineStr">
        <is>
          <t>Day total</t>
        </is>
      </c>
      <c r="B34" s="93" t="n"/>
      <c r="C34" s="64" t="n"/>
      <c r="D34" s="110">
        <f>SUM(D33)</f>
        <v/>
      </c>
      <c r="E34" s="111">
        <f>SUM(E33)</f>
        <v/>
      </c>
      <c r="F34" s="112" t="n"/>
      <c r="G34" s="112" t="n"/>
    </row>
    <row r="35" ht="15" customHeight="1" s="57">
      <c r="A35" s="106" t="inlineStr">
        <is>
          <t>GRAND TOTAL</t>
        </is>
      </c>
      <c r="B35" s="93" t="n"/>
      <c r="C35" s="64" t="n"/>
      <c r="D35" s="89">
        <f>SUM(D5)+SUM(D7:D8)+SUM(D10:D11)+SUM(D13:D17)+SUM(D19:D23)+SUM(D25:D27)+SUM(D29:D31)+SUM(D33)</f>
        <v/>
      </c>
      <c r="E35" s="88">
        <f>SUM(E5)+SUM(E7:E8)+SUM(E10:E11)+SUM(E13:E17)+SUM(E19:E23)+SUM(E25:E27)+SUM(E29:E31)+SUM(E33)</f>
        <v/>
      </c>
      <c r="F35" s="97" t="n"/>
      <c r="G35" s="97" t="n"/>
    </row>
  </sheetData>
  <mergeCells count="11">
    <mergeCell ref="A28:C28"/>
    <mergeCell ref="A1:G1"/>
    <mergeCell ref="A32:C32"/>
    <mergeCell ref="A12:C12"/>
    <mergeCell ref="A6:C6"/>
    <mergeCell ref="A9:C9"/>
    <mergeCell ref="A18:C18"/>
    <mergeCell ref="A2:G2"/>
    <mergeCell ref="A34:C34"/>
    <mergeCell ref="A35:C35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Milestone Planning</t>
        </is>
      </c>
    </row>
    <row r="2" ht="18" customHeight="1" s="57">
      <c r="A2" s="75" t="inlineStr">
        <is>
          <t>Phase 5 — M0-M18 milestone decomposition, MILESTONE_REGISTRY, PM4 initiative charters, sync reports, audit remediation waves.</t>
        </is>
      </c>
    </row>
    <row r="3"/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46133</v>
      </c>
      <c r="B5" s="99" t="inlineStr">
        <is>
          <t>Tuesday</t>
        </is>
      </c>
      <c r="C5" s="108" t="inlineStr">
        <is>
          <t>12:35 AM – 1:10 AM</t>
        </is>
      </c>
      <c r="D5" s="100" t="n">
        <v>0.82</v>
      </c>
      <c r="E5" s="99" t="n">
        <v>76</v>
      </c>
      <c r="F5" s="108" t="inlineStr">
        <is>
          <t>gantt.png · gantt.png · risk_heatmap.png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46134</v>
      </c>
      <c r="B7" s="99" t="inlineStr">
        <is>
          <t>Wednesday</t>
        </is>
      </c>
      <c r="C7" s="108" t="inlineStr">
        <is>
          <t>10:25 PM – 10:26 PM</t>
        </is>
      </c>
      <c r="D7" s="100" t="n">
        <v>0.5</v>
      </c>
      <c r="E7" s="99" t="n">
        <v>3</v>
      </c>
      <c r="F7" s="108" t="inlineStr">
        <is>
          <t>Milestone_M5_Automation_Basic_Reports_MVP_Launch.md · Milestone_M3_Test_Cases_AI.md · Milestone_M3_Test_Cases_AI.md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49.5" customHeight="1" s="57">
      <c r="A9" s="98" t="n">
        <v>46135</v>
      </c>
      <c r="B9" s="99" t="inlineStr">
        <is>
          <t>Thursday</t>
        </is>
      </c>
      <c r="C9" s="108" t="inlineStr">
        <is>
          <t>12:11 PM – 12:51 PM</t>
        </is>
      </c>
      <c r="D9" s="100" t="n">
        <v>0.92</v>
      </c>
      <c r="E9" s="99" t="n">
        <v>60</v>
      </c>
      <c r="F9" s="108" t="inlineStr">
        <is>
          <t>SYNC_REPORT_MVP_ARCHIVE.md · SYNC_REPORT_MVP_ARCHIVE.md · Milestone_M10_AI_Product_Tester.md</t>
        </is>
      </c>
      <c r="G9" s="108" t="n"/>
    </row>
    <row r="10" ht="49.5" customHeight="1" s="57">
      <c r="A10" s="109" t="inlineStr">
        <is>
          <t>Day total</t>
        </is>
      </c>
      <c r="B10" s="93" t="n"/>
      <c r="C10" s="64" t="n"/>
      <c r="D10" s="110">
        <f>SUM(D9)</f>
        <v/>
      </c>
      <c r="E10" s="111">
        <f>SUM(E9)</f>
        <v/>
      </c>
      <c r="F10" s="112" t="n"/>
      <c r="G10" s="112" t="n"/>
    </row>
    <row r="11" ht="49.5" customHeight="1" s="57">
      <c r="A11" s="98" t="n">
        <v>46136</v>
      </c>
      <c r="B11" s="99" t="inlineStr">
        <is>
          <t>Friday</t>
        </is>
      </c>
      <c r="C11" s="108" t="inlineStr">
        <is>
          <t>3:41 PM – 3:41 PM</t>
        </is>
      </c>
      <c r="D11" s="100" t="n">
        <v>0.5</v>
      </c>
      <c r="E11" s="99" t="n">
        <v>2</v>
      </c>
      <c r="F11" s="108" t="inlineStr">
        <is>
          <t>Milestone_M17_Enterprise_Auth_Slack.md · Milestone_M17_Enterprise_Auth_Slack.md</t>
        </is>
      </c>
      <c r="G11" s="108" t="n"/>
    </row>
    <row r="12" ht="49.5" customHeight="1" s="57">
      <c r="A12" s="102" t="n">
        <v>46136</v>
      </c>
      <c r="B12" s="103" t="inlineStr">
        <is>
          <t>Friday</t>
        </is>
      </c>
      <c r="C12" s="113" t="inlineStr">
        <is>
          <t>7:40 PM – 7:40 PM</t>
        </is>
      </c>
      <c r="D12" s="104" t="n">
        <v>0.5</v>
      </c>
      <c r="E12" s="103" t="n">
        <v>2</v>
      </c>
      <c r="F12" s="113" t="inlineStr">
        <is>
          <t>MILESTONE_REGISTRY.md · MILESTONE_REGISTRY.md</t>
        </is>
      </c>
      <c r="G12" s="113" t="n"/>
    </row>
    <row r="13" ht="49.5" customHeight="1" s="57">
      <c r="A13" s="109" t="inlineStr">
        <is>
          <t>Day total</t>
        </is>
      </c>
      <c r="B13" s="93" t="n"/>
      <c r="C13" s="64" t="n"/>
      <c r="D13" s="110">
        <f>SUM(D11:D12)</f>
        <v/>
      </c>
      <c r="E13" s="111">
        <f>SUM(E11:E12)</f>
        <v/>
      </c>
      <c r="F13" s="112" t="n"/>
      <c r="G13" s="112" t="n"/>
    </row>
    <row r="14" ht="49.5" customHeight="1" s="57">
      <c r="A14" s="98" t="n">
        <v>46137</v>
      </c>
      <c r="B14" s="99" t="inlineStr">
        <is>
          <t>Saturday</t>
        </is>
      </c>
      <c r="C14" s="108" t="inlineStr">
        <is>
          <t>7:09 PM – 7:09 PM</t>
        </is>
      </c>
      <c r="D14" s="100" t="n">
        <v>0.5</v>
      </c>
      <c r="E14" s="99" t="n">
        <v>72</v>
      </c>
      <c r="F14" s="108" t="inlineStr">
        <is>
          <t>gantt.png · gantt.png · risk_heatmap.png</t>
        </is>
      </c>
      <c r="G14" s="108" t="n"/>
    </row>
    <row r="15" ht="49.5" customHeight="1" s="57">
      <c r="A15" s="102" t="n">
        <v>46137</v>
      </c>
      <c r="B15" s="103" t="inlineStr">
        <is>
          <t>Saturday</t>
        </is>
      </c>
      <c r="C15" s="113" t="inlineStr">
        <is>
          <t>9:22 PM – 9:32 PM</t>
        </is>
      </c>
      <c r="D15" s="104" t="n">
        <v>0.5</v>
      </c>
      <c r="E15" s="103" t="n">
        <v>6</v>
      </c>
      <c r="F15" s="113" t="inlineStr">
        <is>
          <t>Milestone_M0_Setup.md · Milestone_M0_Setup.md · Milestone_M0_Setup.md</t>
        </is>
      </c>
      <c r="G15" s="113" t="n"/>
    </row>
    <row r="16" ht="49.5" customHeight="1" s="57">
      <c r="A16" s="98" t="n">
        <v>46137</v>
      </c>
      <c r="B16" s="99" t="inlineStr">
        <is>
          <t>Saturday</t>
        </is>
      </c>
      <c r="C16" s="108" t="inlineStr">
        <is>
          <t>11:00 PM – 11:02 PM</t>
        </is>
      </c>
      <c r="D16" s="100" t="n">
        <v>0.5</v>
      </c>
      <c r="E16" s="99" t="n">
        <v>23</v>
      </c>
      <c r="F16" s="108" t="inlineStr">
        <is>
          <t>Milestone_M1_Users_Roles.md · Milestone_M1_Users_Roles.md · Milestone_M2_Docs_KB.md</t>
        </is>
      </c>
      <c r="G16" s="108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SUM(D14:D16)</f>
        <v/>
      </c>
      <c r="E17" s="111">
        <f>SUM(E14:E16)</f>
        <v/>
      </c>
      <c r="F17" s="112" t="n"/>
      <c r="G17" s="112" t="n"/>
    </row>
    <row r="18" ht="49.5" customHeight="1" s="57">
      <c r="A18" s="98" t="n">
        <v>46138</v>
      </c>
      <c r="B18" s="99" t="inlineStr">
        <is>
          <t>Sunday</t>
        </is>
      </c>
      <c r="C18" s="108" t="inlineStr">
        <is>
          <t>3:45 PM – 3:45 PM</t>
        </is>
      </c>
      <c r="D18" s="100" t="n">
        <v>0.5</v>
      </c>
      <c r="E18" s="99" t="n">
        <v>1</v>
      </c>
      <c r="F18" s="108" t="inlineStr">
        <is>
          <t>Milestone_M0_Setup_v8.md</t>
        </is>
      </c>
      <c r="G18" s="108" t="n"/>
    </row>
    <row r="19" ht="49.5" customHeight="1" s="57">
      <c r="A19" s="102" t="n">
        <v>46138</v>
      </c>
      <c r="B19" s="103" t="inlineStr">
        <is>
          <t>Sunday</t>
        </is>
      </c>
      <c r="C19" s="113" t="inlineStr">
        <is>
          <t>5:52 PM – 5:53 PM</t>
        </is>
      </c>
      <c r="D19" s="104" t="n">
        <v>0.5</v>
      </c>
      <c r="E19" s="103" t="n">
        <v>2</v>
      </c>
      <c r="F19" s="113" t="inlineStr">
        <is>
          <t>Milestone_M5_Automation_Basic_Reports_MVP_Launch.md · Milestone_M5_Automation_Basic_Reports_MVP_Launch.md</t>
        </is>
      </c>
      <c r="G19" s="113" t="n"/>
    </row>
    <row r="20" ht="49.5" customHeight="1" s="57">
      <c r="A20" s="98" t="n">
        <v>46138</v>
      </c>
      <c r="B20" s="99" t="inlineStr">
        <is>
          <t>Sunday</t>
        </is>
      </c>
      <c r="C20" s="108" t="inlineStr">
        <is>
          <t>8:54 PM – 8:54 PM</t>
        </is>
      </c>
      <c r="D20" s="100" t="n">
        <v>0.5</v>
      </c>
      <c r="E20" s="99" t="n">
        <v>1</v>
      </c>
      <c r="F20" s="108" t="inlineStr">
        <is>
          <t>Milestone_M0_Setup_v8.md</t>
        </is>
      </c>
      <c r="G20" s="108" t="n"/>
    </row>
    <row r="21" ht="49.5" customHeight="1" s="57">
      <c r="A21" s="109" t="inlineStr">
        <is>
          <t>Day total</t>
        </is>
      </c>
      <c r="B21" s="93" t="n"/>
      <c r="C21" s="64" t="n"/>
      <c r="D21" s="110">
        <f>SUM(D18:D20)</f>
        <v/>
      </c>
      <c r="E21" s="111">
        <f>SUM(E18:E20)</f>
        <v/>
      </c>
      <c r="F21" s="112" t="n"/>
      <c r="G21" s="112" t="n"/>
    </row>
    <row r="22" ht="49.5" customHeight="1" s="57">
      <c r="A22" s="98" t="n">
        <v>46139</v>
      </c>
      <c r="B22" s="99" t="inlineStr">
        <is>
          <t>Monday</t>
        </is>
      </c>
      <c r="C22" s="108" t="inlineStr">
        <is>
          <t>10:47 AM – 10:49 AM</t>
        </is>
      </c>
      <c r="D22" s="100" t="n">
        <v>0.5</v>
      </c>
      <c r="E22" s="99" t="n">
        <v>248</v>
      </c>
      <c r="F22" s="108" t="inlineStr">
        <is>
          <t>AUDIT_REMEDIATION_WAVE_3_REPORT.md · FINAL_REVIEW.md · FINAL_REVIEW_MVP_ARCHIVE.md</t>
        </is>
      </c>
      <c r="G22" s="108" t="n"/>
    </row>
    <row r="23" ht="49.5" customHeight="1" s="57">
      <c r="A23" s="109" t="inlineStr">
        <is>
          <t>Day total</t>
        </is>
      </c>
      <c r="B23" s="93" t="n"/>
      <c r="C23" s="64" t="n"/>
      <c r="D23" s="110">
        <f>SUM(D22)</f>
        <v/>
      </c>
      <c r="E23" s="111">
        <f>SUM(E22)</f>
        <v/>
      </c>
      <c r="F23" s="112" t="n"/>
      <c r="G23" s="112" t="n"/>
    </row>
    <row r="24" ht="64" customHeight="1" s="57">
      <c r="A24" s="131" t="n">
        <v>46145</v>
      </c>
      <c r="B24" s="123" t="inlineStr">
        <is>
          <t>7</t>
        </is>
      </c>
      <c r="C24" s="124" t="inlineStr">
        <is>
          <t>12:00 – 22:30</t>
        </is>
      </c>
      <c r="D24" s="125" t="n">
        <v>7</v>
      </c>
      <c r="E24" s="123" t="n">
        <v>80</v>
      </c>
      <c r="F24" s="124" t="inlineStr">
        <is>
          <t>M0 close ceremony</t>
        </is>
      </c>
      <c r="G24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25">
      <c r="A25" s="106" t="inlineStr">
        <is>
          <t>GRAND TOTAL</t>
        </is>
      </c>
      <c r="B25" s="93" t="n"/>
      <c r="C25" s="64" t="n"/>
      <c r="D25" s="89">
        <f>SUM(D5)+SUM(D7)+SUM(D9)+SUM(D11:D12)+SUM(D14:D16)+SUM(D18:D20)+SUM(D22)</f>
        <v/>
      </c>
      <c r="E25" s="88">
        <f>SUM(E5)+SUM(E7)+SUM(E9)+SUM(E11:E12)+SUM(E14:E16)+SUM(E18:E20)+SUM(E22)</f>
        <v/>
      </c>
      <c r="F25" s="97" t="n"/>
      <c r="G25" s="97" t="n"/>
    </row>
  </sheetData>
  <mergeCells count="10">
    <mergeCell ref="A10:C10"/>
    <mergeCell ref="A13:C13"/>
    <mergeCell ref="A1:G1"/>
    <mergeCell ref="A23:C23"/>
    <mergeCell ref="A8:C8"/>
    <mergeCell ref="A6:C6"/>
    <mergeCell ref="A17:C17"/>
    <mergeCell ref="A2:G2"/>
    <mergeCell ref="A21:C2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Launch Creative</t>
        </is>
      </c>
    </row>
    <row r="2" ht="18" customHeight="1" s="57">
      <c r="A2" s="75" t="inlineStr">
        <is>
          <t>Phase 6 — animated stack visualisation (3 versions), LinkedIn poster PNG + PDF, MP4 launch video, launch post copy. (587 file count = mostly video frames.)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46138</v>
      </c>
      <c r="B5" s="99" t="inlineStr">
        <is>
          <t>Sunday</t>
        </is>
      </c>
      <c r="C5" s="108" t="inlineStr">
        <is>
          <t>1:17 PM – 2:17 PM</t>
        </is>
      </c>
      <c r="D5" s="100" t="n">
        <v>1.23</v>
      </c>
      <c r="E5" s="99" t="n">
        <v>9</v>
      </c>
      <c r="F5" s="108" t="inlineStr">
        <is>
          <t>qa-nexus-stack-diagram.svg · qa-nexus-stack-animated.html · qa-nexus-stack-logos.svg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15" customHeight="1" s="57">
      <c r="A7" s="106" t="inlineStr">
        <is>
          <t>GRAND TOTAL</t>
        </is>
      </c>
      <c r="B7" s="93" t="n"/>
      <c r="C7" s="64" t="n"/>
      <c r="D7" s="89">
        <f>SUM(D5)</f>
        <v/>
      </c>
      <c r="E7" s="88">
        <f>SUM(E5)</f>
        <v/>
      </c>
      <c r="F7" s="97" t="n"/>
      <c r="G7" s="97" t="n"/>
    </row>
  </sheetData>
  <mergeCells count="4">
    <mergeCell ref="A7:C7"/>
    <mergeCell ref="A2:G2"/>
    <mergeCell ref="A1:G1"/>
    <mergeCell ref="A6:C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Development</t>
        </is>
      </c>
    </row>
    <row r="2" ht="18" customHeight="1" s="57">
      <c r="A2" s="75" t="inlineStr">
        <is>
          <t>Phase 7 — Day-0 dev infra (Cloudflare account, GitHub repo, hooks, kickoff doc, CLAUDE.md) + Day-1 actual code (Prisma schema, F07 wizard, Neon, 2 PRs merged, EOD reports, P0+P1 audit closure 18%→89%).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46138</v>
      </c>
      <c r="B10" s="99" t="inlineStr">
        <is>
          <t>Sunday</t>
        </is>
      </c>
      <c r="C10" s="108" t="inlineStr">
        <is>
          <t>2:29 PM – 2:29 PM</t>
        </is>
      </c>
      <c r="D10" s="100" t="n">
        <v>0.5</v>
      </c>
      <c r="E10" s="99" t="n">
        <v>574</v>
      </c>
      <c r="F10" s="108" t="inlineStr">
        <is>
          <t>e9502cdb · 3a4bb885 · 3147a1e3</t>
        </is>
      </c>
      <c r="G10" s="108" t="n"/>
    </row>
    <row r="11" ht="49.5" customHeight="1" s="57">
      <c r="A11" s="102" t="n">
        <v>46138</v>
      </c>
      <c r="B11" s="103" t="inlineStr">
        <is>
          <t>Sunday</t>
        </is>
      </c>
      <c r="C11" s="113" t="inlineStr">
        <is>
          <t>5:56 PM – 10:20 PM</t>
        </is>
      </c>
      <c r="D11" s="104" t="n">
        <v>4.63</v>
      </c>
      <c r="E11" s="103" t="n">
        <v>126</v>
      </c>
      <c r="F11" s="113" t="inlineStr">
        <is>
          <t>.editorconfig · .prettierrc.json · .nvmrc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46139</v>
      </c>
      <c r="B13" s="99" t="inlineStr">
        <is>
          <t>Monday</t>
        </is>
      </c>
      <c r="C13" s="108" t="inlineStr">
        <is>
          <t>10:04 AM – 11:31 AM</t>
        </is>
      </c>
      <c r="D13" s="100" t="n">
        <v>1.68</v>
      </c>
      <c r="E13" s="99" t="n">
        <v>234</v>
      </c>
      <c r="F13" s="108" t="inlineStr">
        <is>
          <t>memory.md · api.md · database.md</t>
        </is>
      </c>
      <c r="G13" s="108" t="n"/>
    </row>
    <row r="14" ht="49.5" customHeight="1" s="57">
      <c r="A14" s="102" t="n">
        <v>46139</v>
      </c>
      <c r="B14" s="103" t="inlineStr">
        <is>
          <t>Monday</t>
        </is>
      </c>
      <c r="C14" s="113" t="inlineStr">
        <is>
          <t>1:19 PM – 1:19 PM</t>
        </is>
      </c>
      <c r="D14" s="104" t="n">
        <v>0.5</v>
      </c>
      <c r="E14" s="103" t="n">
        <v>16</v>
      </c>
      <c r="F14" s="113" t="inlineStr">
        <is>
          <t>audit-log.sh · report-token-savings.sh · check-secrets.sh</t>
        </is>
      </c>
      <c r="G14" s="113" t="n"/>
    </row>
    <row r="15" ht="49.5" customHeight="1" s="57">
      <c r="A15" s="98" t="n">
        <v>46139</v>
      </c>
      <c r="B15" s="99" t="inlineStr">
        <is>
          <t>Monday</t>
        </is>
      </c>
      <c r="C15" s="108" t="inlineStr">
        <is>
          <t>2:25 PM – 4:12 PM</t>
        </is>
      </c>
      <c r="D15" s="100" t="n">
        <v>2.03</v>
      </c>
      <c r="E15" s="99" t="n">
        <v>49</v>
      </c>
      <c r="F15" s="108" t="inlineStr">
        <is>
          <t>token-savings.jsonl · block-dangerous.sh · .gitleaks.toml</t>
        </is>
      </c>
      <c r="G15" s="108" t="n"/>
    </row>
    <row r="16" ht="49.5" customHeight="1" s="57">
      <c r="A16" s="102" t="n">
        <v>46139</v>
      </c>
      <c r="B16" s="103" t="inlineStr">
        <is>
          <t>Monday</t>
        </is>
      </c>
      <c r="C16" s="113" t="inlineStr">
        <is>
          <t>5:58 PM – 8:44 PM</t>
        </is>
      </c>
      <c r="D16" s="104" t="n">
        <v>3</v>
      </c>
      <c r="E16" s="103" t="n">
        <v>143</v>
      </c>
      <c r="F16" s="113" t="inlineStr">
        <is>
          <t>settings.local.json · deploy-check.md · sync-worktree.md</t>
        </is>
      </c>
      <c r="G16" s="113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SUM(D13:D16)</f>
        <v/>
      </c>
      <c r="E17" s="111">
        <f>SUM(E13:E16)</f>
        <v/>
      </c>
      <c r="F17" s="112" t="n"/>
      <c r="G17" s="112" t="n"/>
    </row>
    <row r="18" ht="64" customHeight="1" s="57">
      <c r="A18" s="131" t="n">
        <v>46140</v>
      </c>
      <c r="B18" s="132" t="n"/>
      <c r="C18" s="133" t="n"/>
      <c r="D18" s="125" t="n">
        <v>8</v>
      </c>
      <c r="E18" s="123" t="n">
        <v>50</v>
      </c>
      <c r="F18" s="124" t="inlineStr">
        <is>
          <t>Skill features push (89%→96% conformance)</t>
        </is>
      </c>
      <c r="G18" s="124" t="inlineStr">
        <is>
          <t>MAIN solo, 5-block skill-features push. See docs/eod-reports/2026-04-28-day-2.md.</t>
        </is>
      </c>
    </row>
    <row r="19">
      <c r="A19" s="126" t="inlineStr">
        <is>
          <t>Day total</t>
        </is>
      </c>
      <c r="B19" s="132" t="n"/>
      <c r="C19" s="133" t="n"/>
      <c r="D19" s="128">
        <f>SUM(D18)</f>
        <v/>
      </c>
      <c r="E19" s="129">
        <f>SUM(E18)</f>
        <v/>
      </c>
      <c r="F19" s="127" t="n"/>
      <c r="G19" s="127" t="n"/>
    </row>
    <row r="20" ht="64" customHeight="1" s="57">
      <c r="A20" s="131" t="n">
        <v>46141</v>
      </c>
      <c r="B20" s="123" t="inlineStr">
        <is>
          <t>Wednesday</t>
        </is>
      </c>
      <c r="C20" s="124" t="inlineStr">
        <is>
          <t>10 AM – 6 PM IST (PLACEHOLDER — refine per actual sessions)</t>
        </is>
      </c>
      <c r="D20" s="125" t="n">
        <v>8</v>
      </c>
      <c r="E20" s="123" t="n">
        <v>60</v>
      </c>
      <c r="F20" s="124" t="inlineStr">
        <is>
          <t>Deploy prep-pack + R2 service + ADRs + T031 e2e + T018 weekly backup</t>
        </is>
      </c>
      <c r="G20" s="124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21">
      <c r="A21" s="126" t="inlineStr">
        <is>
          <t>Day total</t>
        </is>
      </c>
      <c r="B21" s="132" t="n"/>
      <c r="C21" s="133" t="n"/>
      <c r="D21" s="128">
        <f>SUM(D20)</f>
        <v/>
      </c>
      <c r="E21" s="129">
        <f>SUM(E20)</f>
        <v/>
      </c>
      <c r="F21" s="127" t="n"/>
      <c r="G21" s="127" t="n"/>
    </row>
    <row r="22" ht="64" customHeight="1" s="57">
      <c r="A22" s="131" t="n">
        <v>46142</v>
      </c>
      <c r="B22" s="123" t="inlineStr">
        <is>
          <t>Thursday</t>
        </is>
      </c>
      <c r="C22" s="124" t="inlineStr">
        <is>
          <t>10 AM – 7 PM IST (PLACEHOLDER — refine per actual sessions)</t>
        </is>
      </c>
      <c r="D22" s="125" t="n">
        <v>9</v>
      </c>
      <c r="E22" s="123" t="n">
        <v>80</v>
      </c>
      <c r="F22" s="124" t="inlineStr">
        <is>
          <t>5 BE hotfixes + 2 PRs merged + 6 dashboard services provisioned</t>
        </is>
      </c>
      <c r="G22" s="124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23">
      <c r="A23" s="126" t="inlineStr">
        <is>
          <t>Day total</t>
        </is>
      </c>
      <c r="B23" s="132" t="n"/>
      <c r="C23" s="133" t="n"/>
      <c r="D23" s="128">
        <f>SUM(D22)</f>
        <v/>
      </c>
      <c r="E23" s="129">
        <f>SUM(E22)</f>
        <v/>
      </c>
      <c r="F23" s="127" t="n"/>
      <c r="G23" s="127" t="n"/>
    </row>
    <row r="24">
      <c r="A24" s="106" t="inlineStr">
        <is>
          <t>GRAND TOTAL</t>
        </is>
      </c>
      <c r="B24" s="93" t="n"/>
      <c r="C24" s="64" t="n"/>
      <c r="D24" s="89">
        <f>SUM(D5:D6)+SUM(D8:D8)+SUM(D10:D11)+SUM(D13:D16)+SUM(D18:D18)+SUM(D20:D20)+SUM(D22:D22)</f>
        <v/>
      </c>
      <c r="E24" s="88">
        <f>SUM(E5:E6)+SUM(E8:E8)+SUM(E10:E11)+SUM(E13:E16)+SUM(E18:E18)+SUM(E20:E20)+SUM(E22:E22)</f>
        <v/>
      </c>
      <c r="F24" s="97" t="n"/>
      <c r="G24" s="97" t="n"/>
    </row>
  </sheetData>
  <mergeCells count="10">
    <mergeCell ref="A19:C19"/>
    <mergeCell ref="A1:G1"/>
    <mergeCell ref="A23:C23"/>
    <mergeCell ref="A17:C17"/>
    <mergeCell ref="A9:C9"/>
    <mergeCell ref="A18:C18"/>
    <mergeCell ref="A2:G2"/>
    <mergeCell ref="A21:C21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Other</t>
        </is>
      </c>
    </row>
    <row r="2" ht="18" customHeight="1" s="57">
      <c r="A2" s="75" t="inlineStr">
        <is>
          <t>Misc files that didn't match any phase classifier — review and re-categorise if needed.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46139</v>
      </c>
      <c r="B10" s="99" t="inlineStr">
        <is>
          <t>Monday</t>
        </is>
      </c>
      <c r="C10" s="108" t="inlineStr">
        <is>
          <t>8:55 PM – 9:49 PM</t>
        </is>
      </c>
      <c r="D10" s="100" t="n">
        <v>1.15</v>
      </c>
      <c r="E10" s="99" t="n">
        <v>3</v>
      </c>
      <c r="F10" s="108" t="inlineStr">
        <is>
          <t>.~lock.QA_Nexus_Work_Hours_Log.xlsx# · lu1418u8yh.tmp · lu13993vzx.tmp</t>
        </is>
      </c>
      <c r="G10" s="108" t="n"/>
    </row>
    <row r="11" ht="49.5" customHeight="1" s="57">
      <c r="A11" s="109" t="inlineStr">
        <is>
          <t>Day total</t>
        </is>
      </c>
      <c r="B11" s="93" t="n"/>
      <c r="C11" s="64" t="n"/>
      <c r="D11" s="110">
        <f>SUM(D10)</f>
        <v/>
      </c>
      <c r="E11" s="111">
        <f>SUM(E10)</f>
        <v/>
      </c>
      <c r="F11" s="112" t="n"/>
      <c r="G11" s="112" t="n"/>
    </row>
    <row r="12" ht="15" customHeight="1" s="57">
      <c r="A12" s="106" t="inlineStr">
        <is>
          <t>GRAND TOTAL</t>
        </is>
      </c>
      <c r="B12" s="93" t="n"/>
      <c r="C12" s="64" t="n"/>
      <c r="D12" s="89">
        <f>SUM(D5:D6)+SUM(D8)+SUM(D10)</f>
        <v/>
      </c>
      <c r="E12" s="88">
        <f>SUM(E5:E6)+SUM(E8)+SUM(E10)</f>
        <v/>
      </c>
      <c r="F12" s="97" t="n"/>
      <c r="G12" s="97" t="n"/>
    </row>
  </sheetData>
  <mergeCells count="6">
    <mergeCell ref="A1:G1"/>
    <mergeCell ref="A11:C11"/>
    <mergeCell ref="A9:C9"/>
    <mergeCell ref="A2:G2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4"/>
    <col width="9" customWidth="1" style="56" min="5" max="5"/>
    <col width="28" customWidth="1" style="56" min="6" max="6"/>
    <col width="34" customWidth="1" style="56" min="7" max="7"/>
    <col width="42" customWidth="1" style="56" min="8" max="8"/>
  </cols>
  <sheetData>
    <row r="1" ht="27.75" customHeight="1" s="57">
      <c r="A1" s="96" t="inlineStr">
        <is>
          <t>All Sessions — Chronological</t>
        </is>
      </c>
    </row>
    <row r="2" ht="15" customHeight="1" s="57">
      <c r="A2" s="114" t="inlineStr">
        <is>
          <t>Every session across every phase, sorted by date · 55 sessions · 49.89 hrs</t>
        </is>
      </c>
    </row>
    <row r="3"/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</t>
        </is>
      </c>
      <c r="F4" s="78" t="inlineStr">
        <is>
          <t>Phase</t>
        </is>
      </c>
      <c r="G4" s="78" t="inlineStr">
        <is>
          <t>Sample / Theme</t>
        </is>
      </c>
      <c r="H4" s="78" t="inlineStr">
        <is>
          <t>What I Did</t>
        </is>
      </c>
    </row>
    <row r="5" ht="43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Idea Confirmation</t>
        </is>
      </c>
      <c r="G5" s="108" t="inlineStr">
        <is>
          <t>QA_Roles_Documents_Reference_Guide.md · QA_Nexus_Platform_Vision.md · problem-landscape.drawio</t>
        </is>
      </c>
      <c r="H5" s="108" t="n"/>
    </row>
    <row r="6" ht="43.5" customHeight="1" s="57">
      <c r="A6" s="102" t="n">
        <v>46130</v>
      </c>
      <c r="B6" s="103" t="inlineStr">
        <is>
          <t>Saturday</t>
        </is>
      </c>
      <c r="C6" s="113" t="inlineStr">
        <is>
          <t>11:47 AM – 12:10 PM</t>
        </is>
      </c>
      <c r="D6" s="104" t="n">
        <v>0.63</v>
      </c>
      <c r="E6" s="103" t="n">
        <v>12</v>
      </c>
      <c r="F6" s="113" t="inlineStr">
        <is>
          <t>Test Case Management Research</t>
        </is>
      </c>
      <c r="G6" s="113" t="inlineStr">
        <is>
          <t>01_Test_Management_and_Optimization.md · 02_Test_Reporting_and_Analytics.md · 03_Automation_Playwright.md</t>
        </is>
      </c>
      <c r="H6" s="113" t="n"/>
    </row>
    <row r="7" ht="43.5" customHeight="1" s="57">
      <c r="A7" s="98" t="n">
        <v>46130</v>
      </c>
      <c r="B7" s="99" t="inlineStr">
        <is>
          <t>Saturday</t>
        </is>
      </c>
      <c r="C7" s="108" t="inlineStr">
        <is>
          <t>7:37 PM – 7:54 PM</t>
        </is>
      </c>
      <c r="D7" s="100" t="n">
        <v>0.53</v>
      </c>
      <c r="E7" s="99" t="n">
        <v>8</v>
      </c>
      <c r="F7" s="108" t="inlineStr">
        <is>
          <t>Test Case Management Research</t>
        </is>
      </c>
      <c r="G7" s="108" t="inlineStr">
        <is>
          <t>COMPETITOR_UI_RESEARCH.md · CONTEXTQA_ANALYSIS.md · DESIGN_INSPIRATION.md</t>
        </is>
      </c>
      <c r="H7" s="108" t="n"/>
    </row>
    <row r="8" ht="43.5" customHeight="1" s="57">
      <c r="A8" s="102" t="n">
        <v>46130</v>
      </c>
      <c r="B8" s="103" t="inlineStr">
        <is>
          <t>Saturday</t>
        </is>
      </c>
      <c r="C8" s="113" t="inlineStr">
        <is>
          <t>9:31 AM – 10:36 AM</t>
        </is>
      </c>
      <c r="D8" s="104" t="n">
        <v>1.33</v>
      </c>
      <c r="E8" s="103" t="n">
        <v>15</v>
      </c>
      <c r="F8" s="113" t="inlineStr">
        <is>
          <t>Test Automation &amp; Reporting</t>
        </is>
      </c>
      <c r="G8" s="113" t="inlineStr">
        <is>
          <t>BrowserStack AI Agents Research &amp; Documentation</t>
        </is>
      </c>
      <c r="H8" s="113" t="n"/>
    </row>
    <row r="9" ht="43.5" customHeight="1" s="57">
      <c r="A9" s="98" t="n">
        <v>46132</v>
      </c>
      <c r="B9" s="99" t="inlineStr">
        <is>
          <t>Monday</t>
        </is>
      </c>
      <c r="C9" s="108" t="inlineStr">
        <is>
          <t>10:28 PM – 10:28 PM</t>
        </is>
      </c>
      <c r="D9" s="100" t="n">
        <v>0.5</v>
      </c>
      <c r="E9" s="99" t="n">
        <v>1</v>
      </c>
      <c r="F9" s="108" t="inlineStr">
        <is>
          <t>Idea Confirmation</t>
        </is>
      </c>
      <c r="G9" s="108" t="inlineStr">
        <is>
          <t>QA_Nexus_Brainstorm.md</t>
        </is>
      </c>
      <c r="H9" s="108" t="n"/>
    </row>
    <row r="10" ht="43.5" customHeight="1" s="57">
      <c r="A10" s="102" t="n">
        <v>46132</v>
      </c>
      <c r="B10" s="103" t="inlineStr">
        <is>
          <t>Monday</t>
        </is>
      </c>
      <c r="C10" s="113" t="inlineStr">
        <is>
          <t>8:21 PM – 8:21 PM</t>
        </is>
      </c>
      <c r="D10" s="104" t="n">
        <v>0.5</v>
      </c>
      <c r="E10" s="103" t="n">
        <v>1</v>
      </c>
      <c r="F10" s="113" t="inlineStr">
        <is>
          <t>Test Case Management Research</t>
        </is>
      </c>
      <c r="G10" s="113" t="inlineStr">
        <is>
          <t>brainstorm.md</t>
        </is>
      </c>
      <c r="H10" s="113" t="n"/>
    </row>
    <row r="11" ht="43.5" customHeight="1" s="57">
      <c r="A11" s="98" t="n">
        <v>46132</v>
      </c>
      <c r="B11" s="99" t="inlineStr">
        <is>
          <t>Monday</t>
        </is>
      </c>
      <c r="C11" s="108" t="inlineStr">
        <is>
          <t>9:22 PM – 9:22 PM</t>
        </is>
      </c>
      <c r="D11" s="100" t="n">
        <v>0.5</v>
      </c>
      <c r="E11" s="99" t="n">
        <v>1</v>
      </c>
      <c r="F11" s="108" t="inlineStr">
        <is>
          <t>Design &amp; Specifications</t>
        </is>
      </c>
      <c r="G11" s="108" t="inlineStr">
        <is>
          <t>wireframe.html</t>
        </is>
      </c>
      <c r="H11" s="108" t="n"/>
    </row>
    <row r="12" ht="43.5" customHeight="1" s="57">
      <c r="A12" s="102" t="n">
        <v>46133</v>
      </c>
      <c r="B12" s="103" t="inlineStr">
        <is>
          <t>Tuesday</t>
        </is>
      </c>
      <c r="C12" s="113" t="inlineStr">
        <is>
          <t>11:06 AM – 11:06 AM</t>
        </is>
      </c>
      <c r="D12" s="104" t="n">
        <v>0.5</v>
      </c>
      <c r="E12" s="103" t="n">
        <v>14</v>
      </c>
      <c r="F12" s="113" t="inlineStr">
        <is>
          <t>Design &amp; Specifications</t>
        </is>
      </c>
      <c r="G12" s="113" t="inlineStr">
        <is>
          <t>goal_target_bar.png · goal_target_bar.png · priority_matrix.png</t>
        </is>
      </c>
      <c r="H12" s="113" t="n"/>
    </row>
    <row r="13" ht="43.5" customHeight="1" s="57">
      <c r="A13" s="98" t="n">
        <v>46133</v>
      </c>
      <c r="B13" s="99" t="inlineStr">
        <is>
          <t>Tuesday</t>
        </is>
      </c>
      <c r="C13" s="108" t="inlineStr">
        <is>
          <t>12:04 AM – 12:27 AM</t>
        </is>
      </c>
      <c r="D13" s="100" t="n">
        <v>0.62</v>
      </c>
      <c r="E13" s="99" t="n">
        <v>14</v>
      </c>
      <c r="F13" s="108" t="inlineStr">
        <is>
          <t>Design &amp; Specifications</t>
        </is>
      </c>
      <c r="G13" s="108" t="inlineStr">
        <is>
          <t>DESIGN.md · UI_PROMPT.md · PRD.drawio</t>
        </is>
      </c>
      <c r="H13" s="108" t="n"/>
    </row>
    <row r="14" ht="43.5" customHeight="1" s="57">
      <c r="A14" s="102" t="n">
        <v>46133</v>
      </c>
      <c r="B14" s="103" t="inlineStr">
        <is>
          <t>Tuesday</t>
        </is>
      </c>
      <c r="C14" s="113" t="inlineStr">
        <is>
          <t>12:35 AM – 1:10 AM</t>
        </is>
      </c>
      <c r="D14" s="104" t="n">
        <v>0.82</v>
      </c>
      <c r="E14" s="103" t="n">
        <v>76</v>
      </c>
      <c r="F14" s="113" t="inlineStr">
        <is>
          <t>Milestone Planning</t>
        </is>
      </c>
      <c r="G14" s="113" t="inlineStr">
        <is>
          <t>gantt.png · gantt.png · risk_heatmap.png</t>
        </is>
      </c>
      <c r="H14" s="113" t="n"/>
    </row>
    <row r="15" ht="43.5" customHeight="1" s="57">
      <c r="A15" s="98" t="n">
        <v>46134</v>
      </c>
      <c r="B15" s="99" t="inlineStr">
        <is>
          <t>Wednesday</t>
        </is>
      </c>
      <c r="C15" s="108" t="inlineStr">
        <is>
          <t>10:25 PM – 10:26 PM</t>
        </is>
      </c>
      <c r="D15" s="100" t="n">
        <v>0.5</v>
      </c>
      <c r="E15" s="99" t="n">
        <v>3</v>
      </c>
      <c r="F15" s="108" t="inlineStr">
        <is>
          <t>Milestone Planning</t>
        </is>
      </c>
      <c r="G15" s="108" t="inlineStr">
        <is>
          <t>Milestone_M5_Automation_Basic_Reports_MVP_Launch.md · Milestone_M3_Test_Cases_AI.md · Milestone_M3_Test_Cases_AI.md</t>
        </is>
      </c>
      <c r="H15" s="108" t="n"/>
    </row>
    <row r="16" ht="43.5" customHeight="1" s="57">
      <c r="A16" s="102" t="n">
        <v>46134</v>
      </c>
      <c r="B16" s="103" t="inlineStr">
        <is>
          <t>Wednesday</t>
        </is>
      </c>
      <c r="C16" s="113" t="inlineStr">
        <is>
          <t>10:27 PM – 10:27 PM</t>
        </is>
      </c>
      <c r="D16" s="104" t="n">
        <v>0.5</v>
      </c>
      <c r="E16" s="103" t="n">
        <v>2</v>
      </c>
      <c r="F16" s="113" t="inlineStr">
        <is>
          <t>Design &amp; Specifications</t>
        </is>
      </c>
      <c r="G16" s="113" t="inlineStr">
        <is>
          <t>ERD.drawio · ERD.drawio</t>
        </is>
      </c>
      <c r="H16" s="113" t="n"/>
    </row>
    <row r="17" ht="43.5" customHeight="1" s="57">
      <c r="A17" s="98" t="n">
        <v>46134</v>
      </c>
      <c r="B17" s="99" t="inlineStr">
        <is>
          <t>Wednesday</t>
        </is>
      </c>
      <c r="C17" s="108" t="inlineStr">
        <is>
          <t>8:16 PM – 8:16 PM</t>
        </is>
      </c>
      <c r="D17" s="100" t="n">
        <v>0.5</v>
      </c>
      <c r="E17" s="99" t="n">
        <v>2</v>
      </c>
      <c r="F17" s="108" t="inlineStr">
        <is>
          <t>Design &amp; Specifications</t>
        </is>
      </c>
      <c r="G17" s="108" t="inlineStr">
        <is>
          <t>generate_prd_docx.py · generate_prd_docx.py</t>
        </is>
      </c>
      <c r="H17" s="108" t="n"/>
    </row>
    <row r="18" ht="43.5" customHeight="1" s="57">
      <c r="A18" s="102" t="n">
        <v>46135</v>
      </c>
      <c r="B18" s="103" t="inlineStr">
        <is>
          <t>Thursday</t>
        </is>
      </c>
      <c r="C18" s="113" t="inlineStr">
        <is>
          <t>10:30 AM – 10:30 AM</t>
        </is>
      </c>
      <c r="D18" s="104" t="n">
        <v>0.5</v>
      </c>
      <c r="E18" s="103" t="n">
        <v>1</v>
      </c>
      <c r="F18" s="113" t="inlineStr">
        <is>
          <t>Design &amp; Specifications</t>
        </is>
      </c>
      <c r="G18" s="113" t="inlineStr">
        <is>
          <t>MVP_PRD.md</t>
        </is>
      </c>
      <c r="H18" s="113" t="n"/>
    </row>
    <row r="19" ht="43.5" customHeight="1" s="57">
      <c r="A19" s="98" t="n">
        <v>46135</v>
      </c>
      <c r="B19" s="99" t="inlineStr">
        <is>
          <t>Thursday</t>
        </is>
      </c>
      <c r="C19" s="108" t="inlineStr">
        <is>
          <t>11:03 AM – 11:03 AM</t>
        </is>
      </c>
      <c r="D19" s="100" t="n">
        <v>0.5</v>
      </c>
      <c r="E19" s="99" t="n">
        <v>1</v>
      </c>
      <c r="F19" s="108" t="inlineStr">
        <is>
          <t>Development</t>
        </is>
      </c>
      <c r="G19" s="108" t="inlineStr">
        <is>
          <t>PROJECT_DOCUMENT_AUDIT_REPORT.md</t>
        </is>
      </c>
      <c r="H19" s="108" t="n"/>
    </row>
    <row r="20" ht="43.5" customHeight="1" s="57">
      <c r="A20" s="102" t="n">
        <v>46135</v>
      </c>
      <c r="B20" s="103" t="inlineStr">
        <is>
          <t>Thursday</t>
        </is>
      </c>
      <c r="C20" s="113" t="inlineStr">
        <is>
          <t>11:03 AM – 11:03 AM</t>
        </is>
      </c>
      <c r="D20" s="104" t="n">
        <v>0.5</v>
      </c>
      <c r="E20" s="103" t="n">
        <v>1</v>
      </c>
      <c r="F20" s="113" t="inlineStr">
        <is>
          <t>Other</t>
        </is>
      </c>
      <c r="G20" s="113" t="inlineStr">
        <is>
          <t>PROJECT_DOCUMENT_AUDIT_REPORT.md</t>
        </is>
      </c>
      <c r="H20" s="113" t="n"/>
    </row>
    <row r="21" ht="43.5" customHeight="1" s="57">
      <c r="A21" s="98" t="n">
        <v>46135</v>
      </c>
      <c r="B21" s="99" t="inlineStr">
        <is>
          <t>Thursday</t>
        </is>
      </c>
      <c r="C21" s="108" t="inlineStr">
        <is>
          <t>11:58 AM – 1:33 PM</t>
        </is>
      </c>
      <c r="D21" s="100" t="n">
        <v>1.82</v>
      </c>
      <c r="E21" s="99" t="n">
        <v>7</v>
      </c>
      <c r="F21" s="108" t="inlineStr">
        <is>
          <t>Design &amp; Specifications</t>
        </is>
      </c>
      <c r="G21" s="108" t="inlineStr">
        <is>
          <t>PROJECT_UI_UX_REDESIGN.md · PROJECT_UI_FRAME_MAP.md · PROJECT_UI_GENERATION_PROMPT.md</t>
        </is>
      </c>
      <c r="H21" s="108" t="n"/>
    </row>
    <row r="22" ht="43.5" customHeight="1" s="57">
      <c r="A22" s="102" t="n">
        <v>46135</v>
      </c>
      <c r="B22" s="103" t="inlineStr">
        <is>
          <t>Thursday</t>
        </is>
      </c>
      <c r="C22" s="113" t="inlineStr">
        <is>
          <t>12:06 PM – 12:06 PM</t>
        </is>
      </c>
      <c r="D22" s="104" t="n">
        <v>0.5</v>
      </c>
      <c r="E22" s="103" t="n">
        <v>1</v>
      </c>
      <c r="F22" s="113" t="inlineStr">
        <is>
          <t>Development</t>
        </is>
      </c>
      <c r="G22" s="113" t="inlineStr">
        <is>
          <t>PROJECT_ROADMAP.md</t>
        </is>
      </c>
      <c r="H22" s="113" t="n"/>
    </row>
    <row r="23" ht="43.5" customHeight="1" s="57">
      <c r="A23" s="98" t="n">
        <v>46135</v>
      </c>
      <c r="B23" s="99" t="inlineStr">
        <is>
          <t>Thursday</t>
        </is>
      </c>
      <c r="C23" s="108" t="inlineStr">
        <is>
          <t>12:06 PM – 12:06 PM</t>
        </is>
      </c>
      <c r="D23" s="100" t="n">
        <v>0.5</v>
      </c>
      <c r="E23" s="99" t="n">
        <v>1</v>
      </c>
      <c r="F23" s="108" t="inlineStr">
        <is>
          <t>Other</t>
        </is>
      </c>
      <c r="G23" s="108" t="inlineStr">
        <is>
          <t>PROJECT_ROADMAP.md</t>
        </is>
      </c>
      <c r="H23" s="108" t="n"/>
    </row>
    <row r="24" ht="43.5" customHeight="1" s="57">
      <c r="A24" s="102" t="n">
        <v>46135</v>
      </c>
      <c r="B24" s="103" t="inlineStr">
        <is>
          <t>Thursday</t>
        </is>
      </c>
      <c r="C24" s="113" t="inlineStr">
        <is>
          <t>12:11 PM – 12:51 PM</t>
        </is>
      </c>
      <c r="D24" s="104" t="n">
        <v>0.92</v>
      </c>
      <c r="E24" s="103" t="n">
        <v>60</v>
      </c>
      <c r="F24" s="113" t="inlineStr">
        <is>
          <t>Milestone Planning</t>
        </is>
      </c>
      <c r="G24" s="113" t="inlineStr">
        <is>
          <t>SYNC_REPORT_MVP_ARCHIVE.md · SYNC_REPORT_MVP_ARCHIVE.md · Milestone_M10_AI_Product_Tester.md</t>
        </is>
      </c>
      <c r="H24" s="113" t="n"/>
    </row>
    <row r="25" ht="43.5" customHeight="1" s="57">
      <c r="A25" s="98" t="n">
        <v>46135</v>
      </c>
      <c r="B25" s="99" t="inlineStr">
        <is>
          <t>Thursday</t>
        </is>
      </c>
      <c r="C25" s="108" t="inlineStr">
        <is>
          <t>2:54 PM – 2:54 PM</t>
        </is>
      </c>
      <c r="D25" s="100" t="n">
        <v>0.5</v>
      </c>
      <c r="E25" s="99" t="n">
        <v>53</v>
      </c>
      <c r="F25" s="108" t="inlineStr">
        <is>
          <t>Design &amp; Specifications</t>
        </is>
      </c>
      <c r="G25" s="108" t="inlineStr">
        <is>
          <t>code.html · screen.png · code.html</t>
        </is>
      </c>
      <c r="H25" s="108" t="n"/>
    </row>
    <row r="26" ht="43.5" customHeight="1" s="57">
      <c r="A26" s="102" t="n">
        <v>46135</v>
      </c>
      <c r="B26" s="103" t="inlineStr">
        <is>
          <t>Thursday</t>
        </is>
      </c>
      <c r="C26" s="113" t="inlineStr">
        <is>
          <t>5:59 PM – 6:18 PM</t>
        </is>
      </c>
      <c r="D26" s="104" t="n">
        <v>0.57</v>
      </c>
      <c r="E26" s="103" t="n">
        <v>29</v>
      </c>
      <c r="F26" s="113" t="inlineStr">
        <is>
          <t>Design &amp; Specifications</t>
        </is>
      </c>
      <c r="G26" s="113" t="inlineStr">
        <is>
          <t>NAVIGATION_CONTRACT.md · F06_Sign_In.md · F11_Source_Connect_Jira.md</t>
        </is>
      </c>
      <c r="H26" s="113" t="n"/>
    </row>
    <row r="27" ht="43.5" customHeight="1" s="57">
      <c r="A27" s="98" t="n">
        <v>46135</v>
      </c>
      <c r="B27" s="99" t="inlineStr">
        <is>
          <t>Thursday</t>
        </is>
      </c>
      <c r="C27" s="108" t="inlineStr">
        <is>
          <t>8:35 PM – 8:35 PM</t>
        </is>
      </c>
      <c r="D27" s="100" t="n">
        <v>0.5</v>
      </c>
      <c r="E27" s="99" t="n">
        <v>1</v>
      </c>
      <c r="F27" s="108" t="inlineStr">
        <is>
          <t>Design &amp; Specifications</t>
        </is>
      </c>
      <c r="G27" s="108" t="inlineStr">
        <is>
          <t>STITCH_DRIFT_AUDIT.md</t>
        </is>
      </c>
      <c r="H27" s="108" t="n"/>
    </row>
    <row r="28" ht="43.5" customHeight="1" s="57">
      <c r="A28" s="102" t="n">
        <v>46136</v>
      </c>
      <c r="B28" s="103" t="inlineStr">
        <is>
          <t>Friday</t>
        </is>
      </c>
      <c r="C28" s="113" t="inlineStr">
        <is>
          <t>10:46 PM – 10:46 PM</t>
        </is>
      </c>
      <c r="D28" s="104" t="n">
        <v>0.5</v>
      </c>
      <c r="E28" s="103" t="n">
        <v>1</v>
      </c>
      <c r="F28" s="113" t="inlineStr">
        <is>
          <t>Development</t>
        </is>
      </c>
      <c r="G28" s="113" t="inlineStr">
        <is>
          <t>settings.local.json</t>
        </is>
      </c>
      <c r="H28" s="113" t="n"/>
    </row>
    <row r="29" ht="43.5" customHeight="1" s="57">
      <c r="A29" s="98" t="n">
        <v>46136</v>
      </c>
      <c r="B29" s="99" t="inlineStr">
        <is>
          <t>Friday</t>
        </is>
      </c>
      <c r="C29" s="108" t="inlineStr">
        <is>
          <t>10:46 PM – 10:46 PM</t>
        </is>
      </c>
      <c r="D29" s="100" t="n">
        <v>0.5</v>
      </c>
      <c r="E29" s="99" t="n">
        <v>1</v>
      </c>
      <c r="F29" s="108" t="inlineStr">
        <is>
          <t>Other</t>
        </is>
      </c>
      <c r="G29" s="108" t="inlineStr">
        <is>
          <t>settings.local.json</t>
        </is>
      </c>
      <c r="H29" s="108" t="n"/>
    </row>
    <row r="30" ht="43.5" customHeight="1" s="57">
      <c r="A30" s="102" t="n">
        <v>46136</v>
      </c>
      <c r="B30" s="103" t="inlineStr">
        <is>
          <t>Friday</t>
        </is>
      </c>
      <c r="C30" s="113" t="inlineStr">
        <is>
          <t>11:11 PM – 12:12 AM</t>
        </is>
      </c>
      <c r="D30" s="104" t="n">
        <v>1.27</v>
      </c>
      <c r="E30" s="103" t="n">
        <v>16</v>
      </c>
      <c r="F30" s="113" t="inlineStr">
        <is>
          <t>Design &amp; Specifications</t>
        </is>
      </c>
      <c r="G30" s="113" t="inlineStr">
        <is>
          <t>F06b Set Reset Password.html · F06b Set Reset Password.html · F06c Reset Password.html</t>
        </is>
      </c>
      <c r="H30" s="113" t="n"/>
    </row>
    <row r="31" ht="43.5" customHeight="1" s="57">
      <c r="A31" s="98" t="n">
        <v>46136</v>
      </c>
      <c r="B31" s="99" t="inlineStr">
        <is>
          <t>Friday</t>
        </is>
      </c>
      <c r="C31" s="108" t="inlineStr">
        <is>
          <t>11:51 AM – 12:28 PM</t>
        </is>
      </c>
      <c r="D31" s="100" t="n">
        <v>0.87</v>
      </c>
      <c r="E31" s="99" t="n">
        <v>16</v>
      </c>
      <c r="F31" s="108" t="inlineStr">
        <is>
          <t>Design &amp; Specifications</t>
        </is>
      </c>
      <c r="G31" s="108" t="inlineStr">
        <is>
          <t>01-home.html · 02-test-cases.html · 03-ai-generator.html</t>
        </is>
      </c>
      <c r="H31" s="108" t="n"/>
    </row>
    <row r="32" ht="43.5" customHeight="1" s="57">
      <c r="A32" s="102" t="n">
        <v>46136</v>
      </c>
      <c r="B32" s="103" t="inlineStr">
        <is>
          <t>Friday</t>
        </is>
      </c>
      <c r="C32" s="113" t="inlineStr">
        <is>
          <t>3:41 PM – 3:41 PM</t>
        </is>
      </c>
      <c r="D32" s="104" t="n">
        <v>0.5</v>
      </c>
      <c r="E32" s="103" t="n">
        <v>2</v>
      </c>
      <c r="F32" s="113" t="inlineStr">
        <is>
          <t>Milestone Planning</t>
        </is>
      </c>
      <c r="G32" s="113" t="inlineStr">
        <is>
          <t>Milestone_M17_Enterprise_Auth_Slack.md · Milestone_M17_Enterprise_Auth_Slack.md</t>
        </is>
      </c>
      <c r="H32" s="113" t="n"/>
    </row>
    <row r="33" ht="43.5" customHeight="1" s="57">
      <c r="A33" s="98" t="n">
        <v>46136</v>
      </c>
      <c r="B33" s="99" t="inlineStr">
        <is>
          <t>Friday</t>
        </is>
      </c>
      <c r="C33" s="108" t="inlineStr">
        <is>
          <t>6:05 PM – 6:23 PM</t>
        </is>
      </c>
      <c r="D33" s="100" t="n">
        <v>0.55</v>
      </c>
      <c r="E33" s="99" t="n">
        <v>36</v>
      </c>
      <c r="F33" s="108" t="inlineStr">
        <is>
          <t>Design &amp; Specifications</t>
        </is>
      </c>
      <c r="G33" s="108" t="inlineStr">
        <is>
          <t>F07 First-Run Onboarding.html · F07 First-Run Onboarding.html · F06 Sign In.html</t>
        </is>
      </c>
      <c r="H33" s="108" t="n"/>
    </row>
    <row r="34" ht="43.5" customHeight="1" s="57">
      <c r="A34" s="102" t="n">
        <v>46136</v>
      </c>
      <c r="B34" s="103" t="inlineStr">
        <is>
          <t>Friday</t>
        </is>
      </c>
      <c r="C34" s="113" t="inlineStr">
        <is>
          <t>7:40 PM – 7:40 PM</t>
        </is>
      </c>
      <c r="D34" s="104" t="n">
        <v>0.5</v>
      </c>
      <c r="E34" s="103" t="n">
        <v>2</v>
      </c>
      <c r="F34" s="113" t="inlineStr">
        <is>
          <t>Milestone Planning</t>
        </is>
      </c>
      <c r="G34" s="113" t="inlineStr">
        <is>
          <t>MILESTONE_REGISTRY.md · MILESTONE_REGISTRY.md</t>
        </is>
      </c>
      <c r="H34" s="113" t="n"/>
    </row>
    <row r="35" ht="43.5" customHeight="1" s="57">
      <c r="A35" s="98" t="n">
        <v>46136</v>
      </c>
      <c r="B35" s="99" t="inlineStr">
        <is>
          <t>Friday</t>
        </is>
      </c>
      <c r="C35" s="108" t="inlineStr">
        <is>
          <t>7:54 PM – 8:27 PM</t>
        </is>
      </c>
      <c r="D35" s="100" t="n">
        <v>0.8</v>
      </c>
      <c r="E35" s="99" t="n">
        <v>4</v>
      </c>
      <c r="F35" s="108" t="inlineStr">
        <is>
          <t>Design &amp; Specifications</t>
        </is>
      </c>
      <c r="G35" s="108" t="inlineStr">
        <is>
          <t>05_ANALYSE_AND_GOVERN.md · 05_ANALYSE_AND_GOVERN.md · 02_ENTRY_AND_HOME.md</t>
        </is>
      </c>
      <c r="H35" s="108" t="n"/>
    </row>
    <row r="36" ht="43.5" customHeight="1" s="57">
      <c r="A36" s="102" t="n">
        <v>46136</v>
      </c>
      <c r="B36" s="103" t="inlineStr">
        <is>
          <t>Friday</t>
        </is>
      </c>
      <c r="C36" s="113" t="inlineStr">
        <is>
          <t>9:51 PM – 9:51 PM</t>
        </is>
      </c>
      <c r="D36" s="104" t="n">
        <v>0.5</v>
      </c>
      <c r="E36" s="103" t="n">
        <v>2</v>
      </c>
      <c r="F36" s="113" t="inlineStr">
        <is>
          <t>Design &amp; Specifications</t>
        </is>
      </c>
      <c r="G36" s="113" t="inlineStr">
        <is>
          <t>PROJECT_UI_DESIGN_TOKENS.json · PROJECT_UI_DESIGN_TOKENS.json</t>
        </is>
      </c>
      <c r="H36" s="113" t="n"/>
    </row>
    <row r="37" ht="43.5" customHeight="1" s="57">
      <c r="A37" s="98" t="n">
        <v>46137</v>
      </c>
      <c r="B37" s="99" t="inlineStr">
        <is>
          <t>Saturday</t>
        </is>
      </c>
      <c r="C37" s="108" t="inlineStr">
        <is>
          <t>11:00 PM – 11:02 PM</t>
        </is>
      </c>
      <c r="D37" s="100" t="n">
        <v>0.5</v>
      </c>
      <c r="E37" s="99" t="n">
        <v>23</v>
      </c>
      <c r="F37" s="108" t="inlineStr">
        <is>
          <t>Milestone Planning</t>
        </is>
      </c>
      <c r="G37" s="108" t="inlineStr">
        <is>
          <t>Milestone_M1_Users_Roles.md · Milestone_M1_Users_Roles.md · Milestone_M2_Docs_KB.md</t>
        </is>
      </c>
      <c r="H37" s="108" t="n"/>
    </row>
    <row r="38" ht="43.5" customHeight="1" s="57">
      <c r="A38" s="102" t="n">
        <v>46137</v>
      </c>
      <c r="B38" s="103" t="inlineStr">
        <is>
          <t>Saturday</t>
        </is>
      </c>
      <c r="C38" s="113" t="inlineStr">
        <is>
          <t>7:09 PM – 7:09 PM</t>
        </is>
      </c>
      <c r="D38" s="104" t="n">
        <v>0.5</v>
      </c>
      <c r="E38" s="103" t="n">
        <v>72</v>
      </c>
      <c r="F38" s="113" t="inlineStr">
        <is>
          <t>Milestone Planning</t>
        </is>
      </c>
      <c r="G38" s="113" t="inlineStr">
        <is>
          <t>gantt.png · gantt.png · risk_heatmap.png</t>
        </is>
      </c>
      <c r="H38" s="113" t="n"/>
    </row>
    <row r="39" ht="43.5" customHeight="1" s="57">
      <c r="A39" s="98" t="n">
        <v>46137</v>
      </c>
      <c r="B39" s="99" t="inlineStr">
        <is>
          <t>Saturday</t>
        </is>
      </c>
      <c r="C39" s="108" t="inlineStr">
        <is>
          <t>8:26 AM – 8:26 AM</t>
        </is>
      </c>
      <c r="D39" s="100" t="n">
        <v>0.5</v>
      </c>
      <c r="E39" s="99" t="n">
        <v>2</v>
      </c>
      <c r="F39" s="108" t="inlineStr">
        <is>
          <t>Design &amp; Specifications</t>
        </is>
      </c>
      <c r="G39" s="108" t="inlineStr">
        <is>
          <t>F14m3 Convert to Jira Story Modal.html · F14m3 Convert to Jira Story Modal.html</t>
        </is>
      </c>
      <c r="H39" s="108" t="n"/>
    </row>
    <row r="40" ht="43.5" customHeight="1" s="57">
      <c r="A40" s="102" t="n">
        <v>46137</v>
      </c>
      <c r="B40" s="103" t="inlineStr">
        <is>
          <t>Saturday</t>
        </is>
      </c>
      <c r="C40" s="113" t="inlineStr">
        <is>
          <t>9:21 PM – 10:43 PM</t>
        </is>
      </c>
      <c r="D40" s="104" t="n">
        <v>1.62</v>
      </c>
      <c r="E40" s="103" t="n">
        <v>20</v>
      </c>
      <c r="F40" s="113" t="inlineStr">
        <is>
          <t>Design &amp; Specifications</t>
        </is>
      </c>
      <c r="G40" s="113" t="inlineStr">
        <is>
          <t>QA_Nexus_Master_Brainstorm.md · QA_Nexus_Master_Brainstorm.md · project_analysis.md</t>
        </is>
      </c>
      <c r="H40" s="113" t="n"/>
    </row>
    <row r="41" ht="43.5" customHeight="1" s="57">
      <c r="A41" s="98" t="n">
        <v>46137</v>
      </c>
      <c r="B41" s="99" t="inlineStr">
        <is>
          <t>Saturday</t>
        </is>
      </c>
      <c r="C41" s="108" t="inlineStr">
        <is>
          <t>9:22 PM – 9:32 PM</t>
        </is>
      </c>
      <c r="D41" s="100" t="n">
        <v>0.5</v>
      </c>
      <c r="E41" s="99" t="n">
        <v>6</v>
      </c>
      <c r="F41" s="108" t="inlineStr">
        <is>
          <t>Milestone Planning</t>
        </is>
      </c>
      <c r="G41" s="108" t="inlineStr">
        <is>
          <t>Milestone_M0_Setup.md · Milestone_M0_Setup.md · Milestone_M0_Setup.md</t>
        </is>
      </c>
      <c r="H41" s="108" t="n"/>
    </row>
    <row r="42" ht="43.5" customHeight="1" s="57">
      <c r="A42" s="102" t="n">
        <v>46137</v>
      </c>
      <c r="B42" s="103" t="inlineStr">
        <is>
          <t>Saturday</t>
        </is>
      </c>
      <c r="C42" s="113" t="inlineStr">
        <is>
          <t>9:41 AM – 12:43 PM</t>
        </is>
      </c>
      <c r="D42" s="104" t="n">
        <v>3.27</v>
      </c>
      <c r="E42" s="103" t="n">
        <v>26</v>
      </c>
      <c r="F42" s="113" t="inlineStr">
        <is>
          <t>Design &amp; Specifications</t>
        </is>
      </c>
      <c r="G42" s="113" t="inlineStr">
        <is>
          <t>F15 Knowledge Base.html · F15 Knowledge Base.html · F16a Test Case Method Chooser.html</t>
        </is>
      </c>
      <c r="H42" s="113" t="n"/>
    </row>
    <row r="43" ht="43.5" customHeight="1" s="57">
      <c r="A43" s="98" t="n">
        <v>46138</v>
      </c>
      <c r="B43" s="99" t="inlineStr">
        <is>
          <t>Sunday</t>
        </is>
      </c>
      <c r="C43" s="108" t="inlineStr">
        <is>
          <t>1:17 PM – 2:17 PM</t>
        </is>
      </c>
      <c r="D43" s="100" t="n">
        <v>1.23</v>
      </c>
      <c r="E43" s="99" t="n">
        <v>9</v>
      </c>
      <c r="F43" s="108" t="inlineStr">
        <is>
          <t>Launch Creative</t>
        </is>
      </c>
      <c r="G43" s="108" t="inlineStr">
        <is>
          <t>qa-nexus-stack-diagram.svg · qa-nexus-stack-animated.html · qa-nexus-stack-logos.svg</t>
        </is>
      </c>
      <c r="H43" s="108" t="n"/>
    </row>
    <row r="44" ht="43.5" customHeight="1" s="57">
      <c r="A44" s="102" t="n">
        <v>46138</v>
      </c>
      <c r="B44" s="103" t="inlineStr">
        <is>
          <t>Sunday</t>
        </is>
      </c>
      <c r="C44" s="113" t="inlineStr">
        <is>
          <t>2:29 PM – 2:29 PM</t>
        </is>
      </c>
      <c r="D44" s="104" t="n">
        <v>0.5</v>
      </c>
      <c r="E44" s="103" t="n">
        <v>574</v>
      </c>
      <c r="F44" s="113" t="inlineStr">
        <is>
          <t>Development</t>
        </is>
      </c>
      <c r="G44" s="113" t="inlineStr">
        <is>
          <t>e9502cdb · 3a4bb885 · 3147a1e3</t>
        </is>
      </c>
      <c r="H44" s="113" t="n"/>
    </row>
    <row r="45" ht="43.5" customHeight="1" s="57">
      <c r="A45" s="98" t="n">
        <v>46138</v>
      </c>
      <c r="B45" s="99" t="inlineStr">
        <is>
          <t>Sunday</t>
        </is>
      </c>
      <c r="C45" s="108" t="inlineStr">
        <is>
          <t>2:40 PM – 2:42 PM</t>
        </is>
      </c>
      <c r="D45" s="100" t="n">
        <v>0.5</v>
      </c>
      <c r="E45" s="99" t="n">
        <v>4</v>
      </c>
      <c r="F45" s="108" t="inlineStr">
        <is>
          <t>Design &amp; Specifications</t>
        </is>
      </c>
      <c r="G45" s="108" t="inlineStr">
        <is>
          <t>PRD.md · PRD.md · ERD.md</t>
        </is>
      </c>
      <c r="H45" s="108" t="n"/>
    </row>
    <row r="46" ht="43.5" customHeight="1" s="57">
      <c r="A46" s="102" t="n">
        <v>46138</v>
      </c>
      <c r="B46" s="103" t="inlineStr">
        <is>
          <t>Sunday</t>
        </is>
      </c>
      <c r="C46" s="113" t="inlineStr">
        <is>
          <t>3:45 PM – 3:45 PM</t>
        </is>
      </c>
      <c r="D46" s="104" t="n">
        <v>0.5</v>
      </c>
      <c r="E46" s="103" t="n">
        <v>1</v>
      </c>
      <c r="F46" s="113" t="inlineStr">
        <is>
          <t>Milestone Planning</t>
        </is>
      </c>
      <c r="G46" s="113" t="inlineStr">
        <is>
          <t>Milestone_M0_Setup_v8.md</t>
        </is>
      </c>
      <c r="H46" s="113" t="n"/>
    </row>
    <row r="47" ht="43.5" customHeight="1" s="57">
      <c r="A47" s="98" t="n">
        <v>46138</v>
      </c>
      <c r="B47" s="99" t="inlineStr">
        <is>
          <t>Sunday</t>
        </is>
      </c>
      <c r="C47" s="108" t="inlineStr">
        <is>
          <t>3:57 PM – 3:58 PM</t>
        </is>
      </c>
      <c r="D47" s="100" t="n">
        <v>0.5</v>
      </c>
      <c r="E47" s="99" t="n">
        <v>2</v>
      </c>
      <c r="F47" s="108" t="inlineStr">
        <is>
          <t>Design &amp; Specifications</t>
        </is>
      </c>
      <c r="G47" s="108" t="inlineStr">
        <is>
          <t>PM1_ERD.md · PM1_ERD.md</t>
        </is>
      </c>
      <c r="H47" s="108" t="n"/>
    </row>
    <row r="48" ht="43.5" customHeight="1" s="57">
      <c r="A48" s="102" t="n">
        <v>46138</v>
      </c>
      <c r="B48" s="103" t="inlineStr">
        <is>
          <t>Sunday</t>
        </is>
      </c>
      <c r="C48" s="113" t="inlineStr">
        <is>
          <t>5:52 PM – 5:53 PM</t>
        </is>
      </c>
      <c r="D48" s="104" t="n">
        <v>0.5</v>
      </c>
      <c r="E48" s="103" t="n">
        <v>2</v>
      </c>
      <c r="F48" s="113" t="inlineStr">
        <is>
          <t>Milestone Planning</t>
        </is>
      </c>
      <c r="G48" s="113" t="inlineStr">
        <is>
          <t>Milestone_M5_Automation_Basic_Reports_MVP_Launch.md · Milestone_M5_Automation_Basic_Reports_MVP_Launch.md</t>
        </is>
      </c>
      <c r="H48" s="113" t="n"/>
    </row>
    <row r="49" ht="43.5" customHeight="1" s="57">
      <c r="A49" s="98" t="n">
        <v>46138</v>
      </c>
      <c r="B49" s="99" t="inlineStr">
        <is>
          <t>Sunday</t>
        </is>
      </c>
      <c r="C49" s="108" t="inlineStr">
        <is>
          <t>5:56 PM – 10:20 PM</t>
        </is>
      </c>
      <c r="D49" s="100" t="n">
        <v>4.63</v>
      </c>
      <c r="E49" s="99" t="n">
        <v>126</v>
      </c>
      <c r="F49" s="108" t="inlineStr">
        <is>
          <t>Development</t>
        </is>
      </c>
      <c r="G49" s="108" t="inlineStr">
        <is>
          <t>.editorconfig · .prettierrc.json · .nvmrc</t>
        </is>
      </c>
      <c r="H49" s="108" t="n"/>
    </row>
    <row r="50" ht="43.5" customHeight="1" s="57">
      <c r="A50" s="102" t="n">
        <v>46138</v>
      </c>
      <c r="B50" s="103" t="inlineStr">
        <is>
          <t>Sunday</t>
        </is>
      </c>
      <c r="C50" s="113" t="inlineStr">
        <is>
          <t>8:43 PM – 8:44 PM</t>
        </is>
      </c>
      <c r="D50" s="104" t="n">
        <v>0.5</v>
      </c>
      <c r="E50" s="103" t="n">
        <v>5</v>
      </c>
      <c r="F50" s="113" t="inlineStr">
        <is>
          <t>Design &amp; Specifications</t>
        </is>
      </c>
      <c r="G50" s="113" t="inlineStr">
        <is>
          <t>PM1_PRD.md · CLAUDE_KICKOFF_PROMPT.md · 01_SYSTEM.md</t>
        </is>
      </c>
      <c r="H50" s="113" t="n"/>
    </row>
    <row r="51" ht="43.5" customHeight="1" s="57">
      <c r="A51" s="98" t="n">
        <v>46138</v>
      </c>
      <c r="B51" s="99" t="inlineStr">
        <is>
          <t>Sunday</t>
        </is>
      </c>
      <c r="C51" s="108" t="inlineStr">
        <is>
          <t>8:54 PM – 8:54 PM</t>
        </is>
      </c>
      <c r="D51" s="100" t="n">
        <v>0.5</v>
      </c>
      <c r="E51" s="99" t="n">
        <v>1</v>
      </c>
      <c r="F51" s="108" t="inlineStr">
        <is>
          <t>Milestone Planning</t>
        </is>
      </c>
      <c r="G51" s="108" t="inlineStr">
        <is>
          <t>Milestone_M0_Setup_v8.md</t>
        </is>
      </c>
      <c r="H51" s="108" t="n"/>
    </row>
    <row r="52" ht="43.5" customHeight="1" s="57">
      <c r="A52" s="102" t="n">
        <v>46139</v>
      </c>
      <c r="B52" s="103" t="inlineStr">
        <is>
          <t>Monday</t>
        </is>
      </c>
      <c r="C52" s="113" t="inlineStr">
        <is>
          <t>10:04 AM – 11:31 AM</t>
        </is>
      </c>
      <c r="D52" s="104" t="n">
        <v>1.68</v>
      </c>
      <c r="E52" s="103" t="n">
        <v>234</v>
      </c>
      <c r="F52" s="113" t="inlineStr">
        <is>
          <t>Development</t>
        </is>
      </c>
      <c r="G52" s="113" t="inlineStr">
        <is>
          <t>memory.md · api.md · database.md</t>
        </is>
      </c>
      <c r="H52" s="113" t="n"/>
    </row>
    <row r="53" ht="43.5" customHeight="1" s="57">
      <c r="A53" s="98" t="n">
        <v>46139</v>
      </c>
      <c r="B53" s="99" t="inlineStr">
        <is>
          <t>Monday</t>
        </is>
      </c>
      <c r="C53" s="108" t="inlineStr">
        <is>
          <t>10:35 AM – 10:49 AM</t>
        </is>
      </c>
      <c r="D53" s="100" t="n">
        <v>0.5</v>
      </c>
      <c r="E53" s="99" t="n">
        <v>153</v>
      </c>
      <c r="F53" s="108" t="inlineStr">
        <is>
          <t>Design &amp; Specifications</t>
        </is>
      </c>
      <c r="G53" s="108" t="inlineStr">
        <is>
          <t>QA_Nexus_Tech_Stack.docx · ERD.docx · ERD.drawio</t>
        </is>
      </c>
      <c r="H53" s="108" t="n"/>
    </row>
    <row r="54" ht="43.5" customHeight="1" s="57">
      <c r="A54" s="102" t="n">
        <v>46139</v>
      </c>
      <c r="B54" s="103" t="inlineStr">
        <is>
          <t>Monday</t>
        </is>
      </c>
      <c r="C54" s="113" t="inlineStr">
        <is>
          <t>10:47 AM – 10:49 AM</t>
        </is>
      </c>
      <c r="D54" s="104" t="n">
        <v>0.5</v>
      </c>
      <c r="E54" s="103" t="n">
        <v>248</v>
      </c>
      <c r="F54" s="113" t="inlineStr">
        <is>
          <t>Milestone Planning</t>
        </is>
      </c>
      <c r="G54" s="113" t="inlineStr">
        <is>
          <t>AUDIT_REMEDIATION_WAVE_3_REPORT.md · FINAL_REVIEW.md · FINAL_REVIEW_MVP_ARCHIVE.md</t>
        </is>
      </c>
      <c r="H54" s="113" t="n"/>
    </row>
    <row r="55" ht="43.5" customHeight="1" s="57">
      <c r="A55" s="98" t="n">
        <v>46139</v>
      </c>
      <c r="B55" s="99" t="inlineStr">
        <is>
          <t>Monday</t>
        </is>
      </c>
      <c r="C55" s="108" t="inlineStr">
        <is>
          <t>1:19 PM – 1:19 PM</t>
        </is>
      </c>
      <c r="D55" s="100" t="n">
        <v>0.5</v>
      </c>
      <c r="E55" s="99" t="n">
        <v>16</v>
      </c>
      <c r="F55" s="108" t="inlineStr">
        <is>
          <t>Development</t>
        </is>
      </c>
      <c r="G55" s="108" t="inlineStr">
        <is>
          <t>audit-log.sh · report-token-savings.sh · check-secrets.sh</t>
        </is>
      </c>
      <c r="H55" s="108" t="n"/>
    </row>
    <row r="56" ht="43.5" customHeight="1" s="57">
      <c r="A56" s="102" t="n">
        <v>46139</v>
      </c>
      <c r="B56" s="103" t="inlineStr">
        <is>
          <t>Monday</t>
        </is>
      </c>
      <c r="C56" s="113" t="inlineStr">
        <is>
          <t>2:25 PM – 4:12 PM</t>
        </is>
      </c>
      <c r="D56" s="104" t="n">
        <v>2.03</v>
      </c>
      <c r="E56" s="103" t="n">
        <v>49</v>
      </c>
      <c r="F56" s="113" t="inlineStr">
        <is>
          <t>Development</t>
        </is>
      </c>
      <c r="G56" s="113" t="inlineStr">
        <is>
          <t>token-savings.jsonl · block-dangerous.sh · .gitleaks.toml</t>
        </is>
      </c>
      <c r="H56" s="113" t="n"/>
    </row>
    <row r="57" ht="43.5" customHeight="1" s="57">
      <c r="A57" s="98" t="n">
        <v>46139</v>
      </c>
      <c r="B57" s="99" t="inlineStr">
        <is>
          <t>Monday</t>
        </is>
      </c>
      <c r="C57" s="108" t="inlineStr">
        <is>
          <t>5:58 PM – 8:44 PM</t>
        </is>
      </c>
      <c r="D57" s="100" t="n">
        <v>3</v>
      </c>
      <c r="E57" s="99" t="n">
        <v>143</v>
      </c>
      <c r="F57" s="108" t="inlineStr">
        <is>
          <t>Development</t>
        </is>
      </c>
      <c r="G57" s="108" t="inlineStr">
        <is>
          <t>settings.local.json · deploy-check.md · sync-worktree.md</t>
        </is>
      </c>
      <c r="H57" s="108" t="n"/>
    </row>
    <row r="58" ht="43.5" customHeight="1" s="57">
      <c r="A58" s="102" t="n">
        <v>46139</v>
      </c>
      <c r="B58" s="103" t="inlineStr">
        <is>
          <t>Monday</t>
        </is>
      </c>
      <c r="C58" s="113" t="inlineStr">
        <is>
          <t>8:55 PM – 9:49 PM</t>
        </is>
      </c>
      <c r="D58" s="104" t="n">
        <v>1.15</v>
      </c>
      <c r="E58" s="103" t="n">
        <v>3</v>
      </c>
      <c r="F58" s="113" t="inlineStr">
        <is>
          <t>Other</t>
        </is>
      </c>
      <c r="G58" s="113" t="inlineStr">
        <is>
          <t>.~lock.QA_Nexus_Work_Hours_Log.xlsx# · lu1418u8yh.tmp · lu13993vzx.tmp</t>
        </is>
      </c>
      <c r="H58" s="113" t="n"/>
    </row>
    <row r="59" ht="43.5" customHeight="1" s="57">
      <c r="A59" s="98" t="n">
        <v>46139</v>
      </c>
      <c r="B59" s="99" t="inlineStr">
        <is>
          <t>Monday</t>
        </is>
      </c>
      <c r="C59" s="108" t="inlineStr">
        <is>
          <t>9:44 PM – 10:10 PM</t>
        </is>
      </c>
      <c r="D59" s="100" t="n">
        <v>0.68</v>
      </c>
      <c r="E59" s="99" t="n">
        <v>3</v>
      </c>
      <c r="F59" s="108" t="inlineStr">
        <is>
          <t>Test Automation &amp; Reporting</t>
        </is>
      </c>
      <c r="G59" s="108" t="inlineStr">
        <is>
          <t>BrowserStack AI Agents — Document Finalisation</t>
        </is>
      </c>
      <c r="H59" s="108" t="n"/>
    </row>
    <row r="60" ht="64" customHeight="1" s="57">
      <c r="A60" s="131" t="n">
        <v>46145</v>
      </c>
      <c r="B60" s="123" t="inlineStr">
        <is>
          <t>7</t>
        </is>
      </c>
      <c r="C60" s="124" t="inlineStr">
        <is>
          <t>12:00 – 22:30</t>
        </is>
      </c>
      <c r="D60" s="125" t="n">
        <v>7</v>
      </c>
      <c r="E60" s="123" t="n">
        <v>80</v>
      </c>
      <c r="F60" s="124" t="inlineStr">
        <is>
          <t>Milestone Planning</t>
        </is>
      </c>
      <c r="G60" s="124" t="inlineStr">
        <is>
          <t>M0 close ceremony</t>
        </is>
      </c>
      <c r="H60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61">
      <c r="A61" s="106" t="inlineStr">
        <is>
          <t>GRAND TOTAL</t>
        </is>
      </c>
      <c r="B61" s="93" t="n"/>
      <c r="C61" s="64" t="n"/>
      <c r="D61" s="89">
        <f>SUM(D5:D59)</f>
        <v/>
      </c>
      <c r="E61" s="88">
        <f>SUM(E5:E59)</f>
        <v/>
      </c>
      <c r="F61" s="97" t="n"/>
      <c r="G61" s="97" t="n"/>
      <c r="H61" s="97" t="n"/>
    </row>
  </sheetData>
  <mergeCells count="3">
    <mergeCell ref="A60:C60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style="57" min="1" max="1"/>
    <col width="6" customWidth="1" style="57" min="2" max="2"/>
    <col width="10" customWidth="1" style="57" min="3" max="3"/>
    <col width="10" customWidth="1" style="57" min="4" max="4"/>
    <col width="14" customWidth="1" style="57" min="5" max="5"/>
    <col width="12" customWidth="1" style="57" min="6" max="6"/>
    <col width="14" customWidth="1" style="57" min="7" max="7"/>
    <col width="16" customWidth="1" style="57" min="8" max="8"/>
    <col width="14" customWidth="1" style="57" min="9" max="9"/>
    <col width="35" customWidth="1" style="57" min="10" max="10"/>
    <col width="9" customWidth="1" style="57" min="11" max="11"/>
  </cols>
  <sheetData>
    <row r="1" ht="30" customHeight="1" s="57">
      <c r="A1" s="115" t="inlineStr">
        <is>
          <t>Date</t>
        </is>
      </c>
      <c r="B1" s="115" t="inlineStr">
        <is>
          <t>Chat</t>
        </is>
      </c>
      <c r="C1" s="115" t="inlineStr">
        <is>
          <t>Started</t>
        </is>
      </c>
      <c r="D1" s="115" t="inlineStr">
        <is>
          <t>Ended</t>
        </is>
      </c>
      <c r="E1" s="115" t="inlineStr">
        <is>
          <t>Duration (min)</t>
        </is>
      </c>
      <c r="F1" s="115" t="inlineStr">
        <is>
          <t>Tool Calls</t>
        </is>
      </c>
      <c r="G1" s="115" t="inlineStr">
        <is>
          <t>Memory Injects</t>
        </is>
      </c>
      <c r="H1" s="115" t="inlineStr">
        <is>
          <t>Context Preloads</t>
        </is>
      </c>
      <c r="I1" s="115" t="inlineStr">
        <is>
          <t>Tokens Saved</t>
        </is>
      </c>
      <c r="J1" s="115" t="inlineStr">
        <is>
          <t>Branch</t>
        </is>
      </c>
      <c r="K1" s="115" t="inlineStr">
        <is>
          <t>Commits</t>
        </is>
      </c>
    </row>
    <row r="2">
      <c r="A2" s="116" t="inlineStr">
        <is>
          <t>2026-04-27</t>
        </is>
      </c>
      <c r="B2" s="116" t="inlineStr">
        <is>
          <t>MAIN</t>
        </is>
      </c>
      <c r="C2" s="116" t="inlineStr">
        <is>
          <t>06:00:00</t>
        </is>
      </c>
      <c r="D2" s="116" t="inlineStr">
        <is>
          <t>17:00:00</t>
        </is>
      </c>
      <c r="E2" s="117" t="n">
        <v>660</v>
      </c>
      <c r="F2" s="117" t="n">
        <v>120</v>
      </c>
      <c r="G2" s="117" t="n">
        <v>27</v>
      </c>
      <c r="H2" s="117" t="n">
        <v>2</v>
      </c>
      <c r="I2" s="117" t="n">
        <v>6450</v>
      </c>
      <c r="J2" s="116" t="inlineStr">
        <is>
          <t>main</t>
        </is>
      </c>
      <c r="K2" s="117" t="n">
        <v>17</v>
      </c>
    </row>
    <row r="3">
      <c r="A3" s="118" t="inlineStr">
        <is>
          <t>2026-04-27 TOTAL</t>
        </is>
      </c>
      <c r="B3" s="118" t="n"/>
      <c r="C3" s="118" t="n"/>
      <c r="D3" s="118" t="n"/>
      <c r="E3" s="118" t="n">
        <v>660</v>
      </c>
      <c r="F3" s="118" t="n">
        <v>120</v>
      </c>
      <c r="G3" s="118" t="n">
        <v>27</v>
      </c>
      <c r="H3" s="118" t="n">
        <v>2</v>
      </c>
      <c r="I3" s="118" t="n">
        <v>6450</v>
      </c>
      <c r="J3" s="118" t="n"/>
      <c r="K3" s="118" t="n">
        <v>17</v>
      </c>
    </row>
    <row r="4">
      <c r="A4" s="116" t="inlineStr">
        <is>
          <t>2026-04-28</t>
        </is>
      </c>
      <c r="B4" s="116" t="inlineStr">
        <is>
          <t>MAIN</t>
        </is>
      </c>
      <c r="C4" s="116" t="inlineStr">
        <is>
          <t>04:30:00</t>
        </is>
      </c>
      <c r="D4" s="116" t="inlineStr">
        <is>
          <t>06:40:00</t>
        </is>
      </c>
      <c r="E4" s="117" t="n">
        <v>130</v>
      </c>
      <c r="F4" s="117" t="n">
        <v>85</v>
      </c>
      <c r="G4" s="117" t="n">
        <v>188</v>
      </c>
      <c r="H4" s="117" t="n">
        <v>13</v>
      </c>
      <c r="I4" s="117" t="n">
        <v>57400</v>
      </c>
      <c r="J4" s="116" t="inlineStr">
        <is>
          <t>main</t>
        </is>
      </c>
      <c r="K4" s="117" t="n">
        <v>5</v>
      </c>
    </row>
    <row r="5">
      <c r="A5" s="119" t="inlineStr">
        <is>
          <t>2026-04-28</t>
        </is>
      </c>
      <c r="B5" s="119" t="inlineStr">
        <is>
          <t>MAIN</t>
        </is>
      </c>
      <c r="C5" s="119" t="inlineStr">
        <is>
          <t>08:20:00</t>
        </is>
      </c>
      <c r="D5" s="119" t="inlineStr">
        <is>
          <t>09:35:00</t>
        </is>
      </c>
      <c r="E5" s="120" t="n">
        <v>75</v>
      </c>
      <c r="F5" s="120" t="n">
        <v>53</v>
      </c>
      <c r="G5" s="120" t="n">
        <v>53</v>
      </c>
      <c r="H5" s="120" t="n">
        <v>7</v>
      </c>
      <c r="I5" s="120" t="n">
        <v>18850</v>
      </c>
      <c r="J5" s="119" t="inlineStr">
        <is>
          <t>main</t>
        </is>
      </c>
      <c r="K5" s="120" t="n">
        <v>3</v>
      </c>
    </row>
    <row r="6">
      <c r="A6" s="116" t="inlineStr">
        <is>
          <t>2026-04-28</t>
        </is>
      </c>
      <c r="B6" s="116" t="inlineStr">
        <is>
          <t>MAIN</t>
        </is>
      </c>
      <c r="C6" s="116" t="inlineStr">
        <is>
          <t>13:35:00</t>
        </is>
      </c>
      <c r="D6" s="116" t="inlineStr">
        <is>
          <t>15:30:00</t>
        </is>
      </c>
      <c r="E6" s="117" t="n">
        <v>115</v>
      </c>
      <c r="F6" s="117" t="n">
        <v>75</v>
      </c>
      <c r="G6" s="117" t="n">
        <v>72</v>
      </c>
      <c r="H6" s="117" t="n">
        <v>11</v>
      </c>
      <c r="I6" s="117" t="n">
        <v>26800</v>
      </c>
      <c r="J6" s="116" t="inlineStr">
        <is>
          <t>main</t>
        </is>
      </c>
      <c r="K6" s="117" t="n">
        <v>4</v>
      </c>
    </row>
    <row r="7">
      <c r="A7" s="118" t="inlineStr">
        <is>
          <t>2026-04-28 TOTAL</t>
        </is>
      </c>
      <c r="B7" s="118" t="n"/>
      <c r="C7" s="118" t="n"/>
      <c r="D7" s="118" t="n"/>
      <c r="E7" s="118" t="n">
        <v>320</v>
      </c>
      <c r="F7" s="118" t="n">
        <v>213</v>
      </c>
      <c r="G7" s="118" t="n">
        <v>313</v>
      </c>
      <c r="H7" s="118" t="n">
        <v>31</v>
      </c>
      <c r="I7" s="118" t="n">
        <v>103050</v>
      </c>
      <c r="J7" s="118" t="n"/>
      <c r="K7" s="118" t="n">
        <v>12</v>
      </c>
    </row>
    <row r="8">
      <c r="A8" s="116" t="inlineStr">
        <is>
          <t>2026-04-29</t>
        </is>
      </c>
      <c r="B8" s="116" t="inlineStr">
        <is>
          <t>MAIN</t>
        </is>
      </c>
      <c r="C8" s="116" t="inlineStr">
        <is>
          <t>04:12:45</t>
        </is>
      </c>
      <c r="D8" s="116" t="inlineStr">
        <is>
          <t>05:12:45</t>
        </is>
      </c>
      <c r="E8" s="117" t="n">
        <v>60</v>
      </c>
      <c r="F8" s="117" t="n">
        <v>82</v>
      </c>
      <c r="G8" s="117" t="n">
        <v>82</v>
      </c>
      <c r="H8" s="117" t="n">
        <v>11</v>
      </c>
      <c r="I8" s="117" t="n">
        <v>29300</v>
      </c>
      <c r="J8" s="116" t="inlineStr">
        <is>
          <t>main</t>
        </is>
      </c>
      <c r="K8" s="117" t="n">
        <v>5</v>
      </c>
    </row>
    <row r="9">
      <c r="A9" s="118" t="inlineStr">
        <is>
          <t>2026-04-29 TOTAL</t>
        </is>
      </c>
      <c r="B9" s="118" t="n"/>
      <c r="C9" s="118" t="n"/>
      <c r="D9" s="118" t="n"/>
      <c r="E9" s="118" t="n">
        <v>60</v>
      </c>
      <c r="F9" s="118" t="n">
        <v>82</v>
      </c>
      <c r="G9" s="118" t="n">
        <v>82</v>
      </c>
      <c r="H9" s="118" t="n">
        <v>11</v>
      </c>
      <c r="I9" s="118" t="n">
        <v>29300</v>
      </c>
      <c r="J9" s="118" t="n"/>
      <c r="K9" s="118" t="n">
        <v>5</v>
      </c>
    </row>
    <row r="10">
      <c r="A10" s="121" t="inlineStr">
        <is>
          <t>GRAND TOTAL</t>
        </is>
      </c>
      <c r="B10" s="121" t="n"/>
      <c r="C10" s="121" t="n"/>
      <c r="D10" s="121" t="n"/>
      <c r="E10" s="121" t="n">
        <v>1040</v>
      </c>
      <c r="F10" s="121" t="n">
        <v>415</v>
      </c>
      <c r="G10" s="121" t="n">
        <v>422</v>
      </c>
      <c r="H10" s="121" t="n">
        <v>44</v>
      </c>
      <c r="I10" s="121" t="n">
        <v>138800</v>
      </c>
      <c r="J10" s="121" t="n"/>
      <c r="K10" s="121" t="n">
        <v>34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57" min="1" max="1"/>
    <col width="16" customWidth="1" style="57" min="2" max="2"/>
    <col width="14" customWidth="1" style="57" min="3" max="3"/>
    <col width="18" customWidth="1" style="57" min="4" max="4"/>
    <col width="20" customWidth="1" style="57" min="5" max="5"/>
  </cols>
  <sheetData>
    <row r="1" ht="30" customHeight="1" s="57">
      <c r="A1" s="115" t="inlineStr">
        <is>
          <t>Date</t>
        </is>
      </c>
      <c r="B1" s="115" t="inlineStr">
        <is>
          <t>Total Sessions</t>
        </is>
      </c>
      <c r="C1" s="115" t="inlineStr">
        <is>
          <t>Total Hours</t>
        </is>
      </c>
      <c r="D1" s="115" t="inlineStr">
        <is>
          <t>Total Tool Calls</t>
        </is>
      </c>
      <c r="E1" s="115" t="inlineStr">
        <is>
          <t>Total Tokens Saved</t>
        </is>
      </c>
    </row>
    <row r="2">
      <c r="A2" s="119" t="inlineStr">
        <is>
          <t>2026-04-27</t>
        </is>
      </c>
      <c r="B2" s="120" t="n">
        <v>1</v>
      </c>
      <c r="C2" s="120" t="n">
        <v>11</v>
      </c>
      <c r="D2" s="120" t="n">
        <v>120</v>
      </c>
      <c r="E2" s="120" t="n">
        <v>6450</v>
      </c>
    </row>
    <row r="3">
      <c r="A3" s="116" t="inlineStr">
        <is>
          <t>2026-04-28</t>
        </is>
      </c>
      <c r="B3" s="117" t="n">
        <v>3</v>
      </c>
      <c r="C3" s="117" t="n">
        <v>5.33</v>
      </c>
      <c r="D3" s="117" t="n">
        <v>213</v>
      </c>
      <c r="E3" s="117" t="n">
        <v>103050</v>
      </c>
    </row>
    <row r="4">
      <c r="A4" s="119" t="inlineStr">
        <is>
          <t>2026-04-29</t>
        </is>
      </c>
      <c r="B4" s="120" t="n">
        <v>1</v>
      </c>
      <c r="C4" s="120" t="n">
        <v>1</v>
      </c>
      <c r="D4" s="120" t="n">
        <v>82</v>
      </c>
      <c r="E4" s="120" t="n">
        <v>29300</v>
      </c>
    </row>
    <row r="5">
      <c r="A5" s="121" t="inlineStr">
        <is>
          <t>GRAND TOTAL</t>
        </is>
      </c>
      <c r="B5" s="121">
        <f>SUM(B2:B4)</f>
        <v/>
      </c>
      <c r="C5" s="121">
        <f>SUM(C2:C4)</f>
        <v/>
      </c>
      <c r="D5" s="121">
        <f>SUM(D2:D4)</f>
        <v/>
      </c>
      <c r="E5" s="121">
        <f>SUM(E2:E4)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style="57" min="1" max="1"/>
    <col width="12" customWidth="1" style="57" min="2" max="2"/>
    <col width="10" customWidth="1" style="57" min="3" max="3"/>
    <col width="16" customWidth="1" style="57" min="4" max="4"/>
    <col width="18" customWidth="1" style="57" min="5" max="5"/>
  </cols>
  <sheetData>
    <row r="1" ht="30" customHeight="1" s="57">
      <c r="A1" s="115" t="inlineStr">
        <is>
          <t>Chat</t>
        </is>
      </c>
      <c r="B1" s="115" t="inlineStr">
        <is>
          <t>Sessions</t>
        </is>
      </c>
      <c r="C1" s="115" t="inlineStr">
        <is>
          <t>Hours</t>
        </is>
      </c>
      <c r="D1" s="115" t="inlineStr">
        <is>
          <t>Tokens Saved</t>
        </is>
      </c>
      <c r="E1" s="115" t="inlineStr">
        <is>
          <t>Tokens / Hour</t>
        </is>
      </c>
    </row>
    <row r="2">
      <c r="A2" s="119" t="inlineStr">
        <is>
          <t>MAIN</t>
        </is>
      </c>
      <c r="B2" s="120" t="n">
        <v>5</v>
      </c>
      <c r="C2" s="120" t="n">
        <v>17.33</v>
      </c>
      <c r="D2" s="120" t="n">
        <v>138800</v>
      </c>
      <c r="E2" s="120" t="n">
        <v>8009</v>
      </c>
    </row>
    <row r="3">
      <c r="A3" s="121" t="inlineStr">
        <is>
          <t>GRAND TOTAL</t>
        </is>
      </c>
      <c r="B3" s="121">
        <f>SUM(B2:B2)</f>
        <v/>
      </c>
      <c r="C3" s="121">
        <f>SUM(C2:C2)</f>
        <v/>
      </c>
      <c r="D3" s="121">
        <f>SUM(D2:D2)</f>
        <v/>
      </c>
      <c r="E3" s="121">
        <f>IFERROR(D3/C3,0)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2026-04-27T16:31:32Z</dcterms:created>
  <dcterms:modified xmlns:dcterms="http://purl.org/dc/terms/" xmlns:xsi="http://www.w3.org/2001/XMLSchema-instance" xsi:type="dcterms:W3CDTF">2026-05-03T15:29:39Z</dcterms:modified>
  <cp:revision>1</cp:revision>
</cp:coreProperties>
</file>