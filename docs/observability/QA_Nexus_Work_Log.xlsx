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0740" tabRatio="500" firstSheet="13" activeTab="16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Sessions" sheetId="2" state="visible" r:id="rId2"/>
    <sheet xmlns:r="http://schemas.openxmlformats.org/officeDocument/2006/relationships" name="Phase Comparison" sheetId="3" state="visible" r:id="rId3"/>
    <sheet xmlns:r="http://schemas.openxmlformats.org/officeDocument/2006/relationships" name="Daily Rollup" sheetId="4" state="visible" r:id="rId4"/>
    <sheet xmlns:r="http://schemas.openxmlformats.org/officeDocument/2006/relationships" name="Token Sessions" sheetId="5" state="visible" r:id="rId5"/>
    <sheet xmlns:r="http://schemas.openxmlformats.org/officeDocument/2006/relationships" name="Token Daily Rollup" sheetId="6" state="visible" r:id="rId6"/>
    <sheet xmlns:r="http://schemas.openxmlformats.org/officeDocument/2006/relationships" name="Token Comparison" sheetId="7" state="visible" r:id="rId7"/>
    <sheet xmlns:r="http://schemas.openxmlformats.org/officeDocument/2006/relationships" name="Consolidated Report" sheetId="8" state="visible" r:id="rId8"/>
    <sheet xmlns:r="http://schemas.openxmlformats.org/officeDocument/2006/relationships" name="Idea Confirmation" sheetId="9" state="visible" r:id="rId9"/>
    <sheet xmlns:r="http://schemas.openxmlformats.org/officeDocument/2006/relationships" name="Test Case Management Research" sheetId="10" state="visible" r:id="rId10"/>
    <sheet xmlns:r="http://schemas.openxmlformats.org/officeDocument/2006/relationships" name="Test Automation &amp; Reporting" sheetId="11" state="visible" r:id="rId11"/>
    <sheet xmlns:r="http://schemas.openxmlformats.org/officeDocument/2006/relationships" name="Design &amp; Specifications" sheetId="12" state="visible" r:id="rId12"/>
    <sheet xmlns:r="http://schemas.openxmlformats.org/officeDocument/2006/relationships" name="Milestone Planning" sheetId="13" state="visible" r:id="rId13"/>
    <sheet xmlns:r="http://schemas.openxmlformats.org/officeDocument/2006/relationships" name="Launch Creative" sheetId="14" state="visible" r:id="rId14"/>
    <sheet xmlns:r="http://schemas.openxmlformats.org/officeDocument/2006/relationships" name="Development" sheetId="15" state="visible" r:id="rId15"/>
    <sheet xmlns:r="http://schemas.openxmlformats.org/officeDocument/2006/relationships" name="Other" sheetId="16" state="visible" r:id="rId16"/>
    <sheet xmlns:r="http://schemas.openxmlformats.org/officeDocument/2006/relationships" name="Tokens — Sessions" sheetId="17" state="visible" r:id="rId17"/>
    <sheet xmlns:r="http://schemas.openxmlformats.org/officeDocument/2006/relationships" name="Tokens — Daily Rollup" sheetId="18" state="visible" r:id="rId18"/>
    <sheet xmlns:r="http://schemas.openxmlformats.org/officeDocument/2006/relationships" name="Tokens — Per-Chat Comparison" sheetId="19" state="visible" r:id="rId19"/>
    <sheet xmlns:r="http://schemas.openxmlformats.org/officeDocument/2006/relationships" name="Backfill_Notes" sheetId="20" state="visible" r:id="rId20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 h:mm:ss"/>
    <numFmt numFmtId="166" formatCode="yyyy-mm-dd"/>
  </numFmts>
  <fonts count="41">
    <font>
      <name val="Calibri"/>
      <charset val="1"/>
      <color rgb="FF000000"/>
      <sz val="11"/>
    </font>
    <font>
      <name val="Calibri"/>
      <charset val="1"/>
      <b val="1"/>
      <color rgb="FF000000"/>
      <sz val="16"/>
    </font>
    <font>
      <name val="Calibri"/>
      <charset val="1"/>
      <color rgb="FF666666"/>
      <sz val="11"/>
    </font>
    <font>
      <name val="Calibri"/>
      <charset val="1"/>
      <b val="1"/>
      <color rgb="FFFFFFFF"/>
      <sz val="11"/>
    </font>
    <font>
      <name val="Calibri"/>
      <charset val="1"/>
      <color rgb="FF000000"/>
      <sz val="11"/>
    </font>
    <font>
      <name val="Calibri"/>
      <charset val="1"/>
      <b val="1"/>
      <color rgb="FF000000"/>
      <sz val="11"/>
    </font>
    <font>
      <name val="Calibri"/>
      <charset val="1"/>
      <b val="1"/>
      <color rgb="FF000000"/>
      <sz val="18"/>
    </font>
    <font>
      <name val="Calibri"/>
      <charset val="1"/>
      <b val="1"/>
      <color rgb="FF000000"/>
      <sz val="14"/>
    </font>
    <font>
      <name val="Calibri"/>
      <charset val="1"/>
      <b val="1"/>
      <color rgb="FFFFFFFF"/>
      <sz val="10"/>
    </font>
    <font>
      <name val="Calibri"/>
      <charset val="1"/>
      <b val="1"/>
      <color rgb="FF0066CC"/>
      <sz val="11"/>
    </font>
    <font>
      <name val="Calibri"/>
      <charset val="1"/>
      <color rgb="FF999999"/>
      <sz val="10"/>
    </font>
    <font>
      <name val="Calibri"/>
      <charset val="1"/>
      <color rgb="FF008000"/>
      <sz val="11"/>
    </font>
    <font>
      <name val="Calibri"/>
      <charset val="1"/>
      <color rgb="FFFF8C00"/>
      <sz val="11"/>
    </font>
    <font>
      <name val="Calibri"/>
      <charset val="1"/>
      <b val="1"/>
      <color rgb="FF000000"/>
      <sz val="20"/>
    </font>
    <font>
      <name val="Calibri"/>
      <charset val="1"/>
      <color rgb="FF666666"/>
      <sz val="12"/>
    </font>
    <font>
      <name val="Calibri"/>
      <charset val="1"/>
      <color rgb="FF666666"/>
      <sz val="10"/>
    </font>
    <font>
      <name val="Calibri"/>
      <charset val="1"/>
      <b val="1"/>
      <color rgb="FF0066CC"/>
      <sz val="16"/>
    </font>
    <font>
      <name val="Calibri"/>
      <charset val="1"/>
      <b val="1"/>
      <color rgb="FF0066CC"/>
      <sz val="10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sz val="10"/>
    </font>
    <font>
      <b val="1"/>
      <color rgb="00FFFFFF"/>
    </font>
  </fonts>
  <fills count="45">
    <fill>
      <patternFill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5F5F5"/>
      </patternFill>
    </fill>
    <fill>
      <patternFill patternType="solid">
        <fgColor rgb="FFE0F7FA"/>
        <bgColor rgb="FFE8F4FD"/>
      </patternFill>
    </fill>
    <fill>
      <patternFill patternType="solid">
        <fgColor rgb="FFE8F5E9"/>
        <bgColor rgb="FFE8F4FD"/>
      </patternFill>
    </fill>
    <fill>
      <patternFill patternType="solid">
        <fgColor rgb="FFF3E5F5"/>
        <bgColor rgb="FFFCE4EC"/>
      </patternFill>
    </fill>
    <fill>
      <patternFill patternType="solid">
        <fgColor rgb="FFF5F5F5"/>
        <bgColor rgb="FFF9F9F9"/>
      </patternFill>
    </fill>
    <fill>
      <patternFill patternType="solid">
        <fgColor rgb="FFFCE4EC"/>
        <bgColor rgb="FFF3E5F5"/>
      </patternFill>
    </fill>
    <fill>
      <patternFill patternType="solid">
        <fgColor rgb="FFE8F4FD"/>
        <bgColor rgb="FFE6F0FA"/>
      </patternFill>
    </fill>
    <fill>
      <patternFill patternType="solid">
        <fgColor rgb="FFFFF3E0"/>
        <bgColor rgb="FFF5F5F5"/>
      </patternFill>
    </fill>
    <fill>
      <patternFill patternType="solid">
        <fgColor rgb="FFE6F0FA"/>
        <bgColor rgb="FFE8F4FD"/>
      </patternFill>
    </fill>
    <fill>
      <patternFill patternType="solid">
        <fgColor rgb="FF0066CC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F766E"/>
        <bgColor rgb="000F766E"/>
      </patternFill>
    </fill>
  </fills>
  <borders count="11">
    <border>
      <left/>
      <right/>
      <top/>
      <bottom/>
      <diagonal/>
    </border>
    <border>
      <left/>
      <right/>
      <top style="medium">
        <color rgb="FF33333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49">
    <xf numFmtId="0" fontId="4" fillId="0" borderId="0"/>
    <xf numFmtId="43" fontId="18" fillId="0" borderId="0"/>
    <xf numFmtId="44" fontId="18" fillId="0" borderId="0"/>
    <xf numFmtId="9" fontId="18" fillId="0" borderId="0"/>
    <xf numFmtId="41" fontId="18" fillId="0" borderId="0"/>
    <xf numFmtId="42" fontId="18" fillId="0" borderId="0"/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13" borderId="2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3" applyAlignment="1">
      <alignment vertical="center"/>
    </xf>
    <xf numFmtId="0" fontId="26" fillId="0" borderId="3" applyAlignment="1">
      <alignment vertical="center"/>
    </xf>
    <xf numFmtId="0" fontId="27" fillId="0" borderId="4" applyAlignment="1">
      <alignment vertical="center"/>
    </xf>
    <xf numFmtId="0" fontId="27" fillId="0" borderId="0" applyAlignment="1">
      <alignment vertical="center"/>
    </xf>
    <xf numFmtId="0" fontId="28" fillId="14" borderId="5" applyAlignment="1">
      <alignment vertical="center"/>
    </xf>
    <xf numFmtId="0" fontId="29" fillId="15" borderId="6" applyAlignment="1">
      <alignment vertical="center"/>
    </xf>
    <xf numFmtId="0" fontId="30" fillId="15" borderId="5" applyAlignment="1">
      <alignment vertical="center"/>
    </xf>
    <xf numFmtId="0" fontId="31" fillId="16" borderId="7" applyAlignment="1">
      <alignment vertical="center"/>
    </xf>
    <xf numFmtId="0" fontId="32" fillId="0" borderId="8" applyAlignment="1">
      <alignment vertical="center"/>
    </xf>
    <xf numFmtId="0" fontId="33" fillId="0" borderId="9" applyAlignment="1">
      <alignment vertical="center"/>
    </xf>
    <xf numFmtId="0" fontId="34" fillId="17" borderId="0" applyAlignment="1">
      <alignment vertical="center"/>
    </xf>
    <xf numFmtId="0" fontId="35" fillId="18" borderId="0" applyAlignment="1">
      <alignment vertical="center"/>
    </xf>
    <xf numFmtId="0" fontId="36" fillId="19" borderId="0" applyAlignment="1">
      <alignment vertical="center"/>
    </xf>
    <xf numFmtId="0" fontId="37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7" fillId="23" borderId="0" applyAlignment="1">
      <alignment vertical="center"/>
    </xf>
    <xf numFmtId="0" fontId="37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7" fillId="27" borderId="0" applyAlignment="1">
      <alignment vertical="center"/>
    </xf>
    <xf numFmtId="0" fontId="37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7" fillId="31" borderId="0" applyAlignment="1">
      <alignment vertical="center"/>
    </xf>
    <xf numFmtId="0" fontId="37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7" fillId="35" borderId="0" applyAlignment="1">
      <alignment vertical="center"/>
    </xf>
    <xf numFmtId="0" fontId="37" fillId="36" borderId="0" applyAlignment="1">
      <alignment vertical="center"/>
    </xf>
    <xf numFmtId="0" fontId="38" fillId="37" borderId="0" applyAlignment="1">
      <alignment vertical="center"/>
    </xf>
    <xf numFmtId="0" fontId="38" fillId="38" borderId="0" applyAlignment="1">
      <alignment vertical="center"/>
    </xf>
    <xf numFmtId="0" fontId="37" fillId="39" borderId="0" applyAlignment="1">
      <alignment vertical="center"/>
    </xf>
    <xf numFmtId="0" fontId="37" fillId="40" borderId="0" applyAlignment="1">
      <alignment vertical="center"/>
    </xf>
    <xf numFmtId="0" fontId="38" fillId="41" borderId="0" applyAlignment="1">
      <alignment vertical="center"/>
    </xf>
    <xf numFmtId="0" fontId="38" fillId="42" borderId="0" applyAlignment="1">
      <alignment vertical="center"/>
    </xf>
    <xf numFmtId="0" fontId="37" fillId="43" borderId="0" applyAlignment="1">
      <alignment vertical="center"/>
    </xf>
  </cellStyleXfs>
  <cellXfs count="10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pivotButton="0" quotePrefix="0" xfId="0"/>
    <xf numFmtId="2" fontId="4" fillId="0" borderId="0" applyAlignment="1" pivotButton="0" quotePrefix="0" xfId="0">
      <alignment horizontal="center" vertical="center"/>
    </xf>
    <xf numFmtId="2" fontId="4" fillId="3" borderId="0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4" fillId="0" borderId="0" pivotButton="0" quotePrefix="0" xfId="0"/>
    <xf numFmtId="2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4" fillId="3" borderId="0" pivotButton="0" quotePrefix="0" xfId="0"/>
    <xf numFmtId="0" fontId="9" fillId="3" borderId="0" applyAlignment="1" pivotButton="0" quotePrefix="0" xfId="0">
      <alignment horizontal="center"/>
    </xf>
    <xf numFmtId="0" fontId="10" fillId="3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3" fontId="9" fillId="3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2" fontId="4" fillId="3" borderId="0" applyAlignment="1" pivotButton="0" quotePrefix="0" xfId="0">
      <alignment horizontal="center"/>
    </xf>
    <xf numFmtId="0" fontId="5" fillId="0" borderId="1" pivotButton="0" quotePrefix="0" xfId="0"/>
    <xf numFmtId="0" fontId="9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9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 wrapText="1"/>
    </xf>
    <xf numFmtId="10" fontId="4" fillId="0" borderId="0" applyAlignment="1" pivotButton="0" quotePrefix="0" xfId="0">
      <alignment horizontal="center"/>
    </xf>
    <xf numFmtId="10" fontId="4" fillId="3" borderId="0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/>
    </xf>
    <xf numFmtId="0" fontId="0" fillId="0" borderId="1" pivotButton="0" quotePrefix="0" xfId="0"/>
    <xf numFmtId="3" fontId="4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8" fillId="2" borderId="0" pivotButton="0" quotePrefix="0" xfId="0"/>
    <xf numFmtId="0" fontId="0" fillId="0" borderId="1" applyAlignment="1" pivotButton="0" quotePrefix="0" xfId="0">
      <alignment horizontal="center"/>
    </xf>
    <xf numFmtId="2" fontId="4" fillId="0" borderId="0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/>
    </xf>
    <xf numFmtId="2" fontId="4" fillId="3" borderId="0" applyAlignment="1" pivotButton="0" quotePrefix="0" xfId="0">
      <alignment horizontal="right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2" fontId="5" fillId="0" borderId="1" applyAlignment="1" pivotButton="0" quotePrefix="0" xfId="0">
      <alignment horizontal="right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5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 vertical="center"/>
    </xf>
    <xf numFmtId="3" fontId="16" fillId="11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17" fillId="3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17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164" fontId="16" fillId="11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164" fontId="16" fillId="11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65" fontId="0" fillId="0" borderId="0" pivotButton="0" quotePrefix="0" xfId="0"/>
    <xf numFmtId="166" fontId="39" fillId="0" borderId="10" applyAlignment="1" pivotButton="0" quotePrefix="0" xfId="0">
      <alignment horizontal="center" vertical="center" wrapText="1"/>
    </xf>
    <xf numFmtId="0" fontId="39" fillId="0" borderId="10" applyAlignment="1" pivotButton="0" quotePrefix="0" xfId="0">
      <alignment horizontal="center" vertical="center" wrapText="1"/>
    </xf>
    <xf numFmtId="0" fontId="39" fillId="0" borderId="10" applyAlignment="1" pivotButton="0" quotePrefix="0" xfId="0">
      <alignment horizontal="left" vertical="top" wrapText="1"/>
    </xf>
    <xf numFmtId="2" fontId="39" fillId="0" borderId="10" applyAlignment="1" pivotButton="0" quotePrefix="0" xfId="0">
      <alignment horizontal="center" vertical="center" wrapText="1"/>
    </xf>
    <xf numFmtId="0" fontId="40" fillId="44" borderId="0" applyAlignment="1" pivotButton="0" quotePrefix="0" xfId="0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3E5F5"/>
      <rgbColor rgb="00878787"/>
      <rgbColor rgb="009999FF"/>
      <rgbColor rgb="00993366"/>
      <rgbColor rgb="00FFF3E0"/>
      <rgbColor rgb="00E0F7FA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8F4FD"/>
      <rgbColor rgb="00E8F5E9"/>
      <rgbColor rgb="00F5F5F5"/>
      <rgbColor rgb="00E6F0FA"/>
      <rgbColor rgb="00F9F9F9"/>
      <rgbColor rgb="00CC99FF"/>
      <rgbColor rgb="00FCE4EC"/>
      <rgbColor rgb="004A90D9"/>
      <rgbColor rgb="0033CCCC"/>
      <rgbColor rgb="0099CC00"/>
      <rgbColor rgb="00FFCC00"/>
      <rgbColor rgb="00FF8C00"/>
      <rgbColor rgb="00FF6600"/>
      <rgbColor rgb="00666666"/>
      <rgbColor rgb="00999999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800" b="1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Hours by Phase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rich>
      </tx>
      <layout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'Phase Comparison'!$L$5</f>
              <strCache>
                <ptCount val="1"/>
                <pt idx="0">
                  <v>Hours</v>
                </pt>
              </strCache>
            </strRef>
          </tx>
          <spPr>
            <a:solidFill xmlns:a="http://schemas.openxmlformats.org/drawingml/2006/main">
              <a:srgbClr val="4A90D9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en-US" sz="1000" b="0" i="0" strike="noStrike" kern="1200" spc="-1" baseline="0">
                    <a:solidFill>
                      <a:srgbClr val="000000"/>
                    </a:solidFill>
                    <a:latin typeface="Arial" panose="020B0604020202090204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'Phase Comparison'!$K$6:$K$13</f>
              <strCache>
                <ptCount val="8"/>
                <pt idx="0">
                  <v>Design &amp; Specifications</v>
                </pt>
                <pt idx="1">
                  <v>Milestone Planning</v>
                </pt>
                <pt idx="2">
                  <v>Development</v>
                </pt>
                <pt idx="3">
                  <v>Idea Confirmation</v>
                </pt>
                <pt idx="4">
                  <v>Other</v>
                </pt>
                <pt idx="5">
                  <v>Test Automation &amp; Reporting</v>
                </pt>
                <pt idx="6">
                  <v>Test Case Management Research</v>
                </pt>
                <pt idx="7">
                  <v>Launch Creative</v>
                </pt>
              </strCache>
            </strRef>
          </cat>
          <val>
            <numRef>
              <f>'Phase Comparison'!$L$6:$L$13</f>
              <numCache>
                <formatCode>General</formatCode>
                <ptCount val="8"/>
                <pt idx="0">
                  <v>17.89</v>
                </pt>
                <pt idx="1">
                  <v>16.74</v>
                </pt>
                <pt idx="2">
                  <v>13.84</v>
                </pt>
                <pt idx="3">
                  <v>3.87</v>
                </pt>
                <pt idx="4">
                  <v>2.65</v>
                </pt>
                <pt idx="5">
                  <v>2.01</v>
                </pt>
                <pt idx="6">
                  <v>1.66</v>
                </pt>
                <pt idx="7">
                  <v>1.23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1"/>
        </dLbls>
        <gapWidth val="150"/>
        <overlap val="0"/>
        <axId val="89608937"/>
        <axId val="11335215"/>
      </barChart>
      <catAx>
        <axId val="89608937"/>
        <scaling>
          <orientation val="minMax"/>
        </scaling>
        <delete val="0"/>
        <axPos val="r"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en-US" sz="1000" b="1" i="0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 cap="flat" cmpd="sng" algn="ctr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000" b="0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t>None</a:t>
            </a:r>
          </a:p>
        </txPr>
        <crossAx val="11335215"/>
        <crosses val="autoZero"/>
        <auto val="1"/>
        <lblAlgn val="ctr"/>
        <lblOffset val="100"/>
        <noMultiLvlLbl val="0"/>
      </catAx>
      <valAx>
        <axId val="11335215"/>
        <scaling>
          <orientation val="maxMin"/>
        </scaling>
        <delete val="0"/>
        <axPos val="b"/>
        <majorGridlines>
          <spPr>
            <a:ln xmlns:a="http://schemas.openxmlformats.org/drawingml/2006/main" w="9360" cap="flat" cmpd="sng" algn="ctr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9360" cap="flat" cmpd="sng" algn="ctr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000" b="0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t>None</a:t>
            </a:r>
          </a:p>
        </txPr>
        <crossAx val="89608937"/>
        <crosses val="autoZero"/>
        <crossBetween val="between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1000" b="0" i="0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 cap="flat" cmpd="sng" algn="ctr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800" b="1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Daily Hours Trend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rich>
      </tx>
      <layout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'Daily Rollup'!$I$5</f>
              <strCache>
                <ptCount val="1"/>
                <pt idx="0">
                  <v>Hours</v>
                </pt>
              </strCache>
            </strRef>
          </tx>
          <spPr>
            <a:ln xmlns:a="http://schemas.openxmlformats.org/drawingml/2006/main" w="24840" cap="rnd" cmpd="sng" algn="ctr">
              <a:solidFill>
                <a:srgbClr val="4A90D9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4A90D9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en-US" sz="1000" b="0" i="0" strike="noStrike" kern="1200" spc="-1" baseline="0">
                    <a:solidFill>
                      <a:srgbClr val="000000"/>
                    </a:solidFill>
                    <a:latin typeface="Arial" panose="020B0604020202090204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'Daily Rollup'!$H$6:$H$16</f>
              <strCache>
                <ptCount val="11"/>
                <pt idx="0">
                  <v>2026-04-17</v>
                </pt>
                <pt idx="1">
                  <v>2026-04-18</v>
                </pt>
                <pt idx="2">
                  <v>2026-04-20</v>
                </pt>
                <pt idx="3">
                  <v>2026-04-21</v>
                </pt>
                <pt idx="4">
                  <v>2026-04-22</v>
                </pt>
                <pt idx="5">
                  <v>2026-04-23</v>
                </pt>
                <pt idx="6">
                  <v>2026-04-24</v>
                </pt>
                <pt idx="7">
                  <v>2026-04-25</v>
                </pt>
                <pt idx="8">
                  <v>2026-04-26</v>
                </pt>
                <pt idx="9">
                  <v>2026-04-27</v>
                </pt>
                <pt idx="10">
                  <v>2026-05-03</v>
                </pt>
              </strCache>
            </strRef>
          </cat>
          <val>
            <numRef>
              <f>'Daily Rollup'!$I$6:$I$16</f>
              <numCache>
                <formatCode>General</formatCode>
                <ptCount val="11"/>
                <pt idx="0">
                  <v>3.37</v>
                </pt>
                <pt idx="1">
                  <v>2.49</v>
                </pt>
                <pt idx="2">
                  <v>1.5</v>
                </pt>
                <pt idx="3">
                  <v>1.94</v>
                </pt>
                <pt idx="4">
                  <v>1.5</v>
                </pt>
                <pt idx="5">
                  <v>6.81</v>
                </pt>
                <pt idx="6">
                  <v>5.99</v>
                </pt>
                <pt idx="7">
                  <v>6.89</v>
                </pt>
                <pt idx="8">
                  <v>9.359999999999999</v>
                </pt>
                <pt idx="9">
                  <v>10.04</v>
                </pt>
                <pt idx="10">
                  <v>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1"/>
        </dLbls>
        <hiLowLines>
          <spPr>
            <a:ln xmlns:a="http://schemas.openxmlformats.org/drawingml/2006/main" w="0" cap="flat" cmpd="sng" algn="ctr">
              <a:noFill/>
              <a:prstDash val="solid"/>
              <a:round/>
            </a:ln>
          </spPr>
        </hiLowLines>
        <marker val="1"/>
        <smooth val="1"/>
        <axId val="38353636"/>
        <axId val="27495343"/>
      </lineChart>
      <catAx>
        <axId val="38353636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en-US" sz="1000" b="1" i="0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 cap="flat" cmpd="sng" algn="ctr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000" b="0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t>None</a:t>
            </a:r>
          </a:p>
        </txPr>
        <crossAx val="27495343"/>
        <crosses val="autoZero"/>
        <auto val="1"/>
        <lblAlgn val="ctr"/>
        <lblOffset val="100"/>
        <noMultiLvlLbl val="0"/>
      </catAx>
      <valAx>
        <axId val="27495343"/>
        <scaling>
          <orientation val="minMax"/>
        </scaling>
        <delete val="0"/>
        <axPos val="l"/>
        <majorGridlines>
          <spPr>
            <a:ln xmlns:a="http://schemas.openxmlformats.org/drawingml/2006/main" w="9360" cap="flat" cmpd="sng" algn="ctr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en-US" sz="1000" b="1" i="0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 cap="flat" cmpd="sng" algn="ctr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000" b="0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t>None</a:t>
            </a:r>
          </a:p>
        </txPr>
        <crossAx val="38353636"/>
        <crosses val="autoZero"/>
        <crossBetween val="between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1000" b="0" i="0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 cap="flat" cmpd="sng" algn="ctr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15</row>
      <rowOff>0</rowOff>
    </from>
    <to>
      <col>6</col>
      <colOff>980280</colOff>
      <row>37</row>
      <rowOff>127440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0</colOff>
      <row>19</row>
      <rowOff>0</rowOff>
    </from>
    <to>
      <col>5</col>
      <colOff>2954160</colOff>
      <row>37</row>
      <rowOff>169560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topLeftCell="A17" workbookViewId="0">
      <selection activeCell="A1" sqref="A1"/>
    </sheetView>
  </sheetViews>
  <sheetFormatPr baseColWidth="8" defaultColWidth="8.6796875" defaultRowHeight="16.8"/>
  <cols>
    <col width="3" customWidth="1" style="15" min="1" max="1"/>
    <col width="28" customWidth="1" style="15" min="2" max="2"/>
    <col width="18" customWidth="1" style="15" min="3" max="7"/>
    <col width="3" customWidth="1" style="15" min="8" max="8"/>
  </cols>
  <sheetData>
    <row r="2" ht="36" customHeight="1" s="15">
      <c r="B2" s="73" t="inlineStr">
        <is>
          <t>QA Nexus PM1 — Professional Work Log</t>
        </is>
      </c>
    </row>
    <row r="3" ht="15" customHeight="1" s="15">
      <c r="B3" s="74" t="inlineStr">
        <is>
          <t>Effort Evidence, Deliverables &amp; Token-Management ROI</t>
        </is>
      </c>
    </row>
    <row r="4" ht="15" customHeight="1" s="15">
      <c r="B4" s="75" t="inlineStr">
        <is>
          <t>Owner: Yogesh Mohite (Sr QA + Admin) · Iksula Services Pvt Ltd · Reporting to: Akshay Panchal (QA Lead)</t>
        </is>
      </c>
    </row>
    <row r="5" ht="15" customHeight="1" s="15">
      <c r="B5" s="76" t="inlineStr">
        <is>
          <t>Period: 2026-04-17 → 2026-05-05 (19 days) · Report Generated: 2026-05-05 22:28</t>
        </is>
      </c>
    </row>
    <row r="6" ht="7.5" customHeight="1" s="15"/>
    <row r="7" ht="24" customHeight="1" s="15">
      <c r="B7" s="90" t="inlineStr">
        <is>
          <t>KEY METRICS AT A GLANCE</t>
        </is>
      </c>
    </row>
    <row r="8" ht="21.75" customHeight="1" s="15">
      <c r="B8" s="77" t="inlineStr">
        <is>
          <t>Total Hours Logged</t>
        </is>
      </c>
      <c r="D8" s="77" t="inlineStr">
        <is>
          <t>Work Sessions</t>
        </is>
      </c>
      <c r="F8" s="77" t="inlineStr">
        <is>
          <t>Active Days</t>
        </is>
      </c>
    </row>
    <row r="9" ht="30" customHeight="1" s="15">
      <c r="B9" s="78" t="n">
        <v>59.89</v>
      </c>
      <c r="D9" s="78" t="n">
        <v>57</v>
      </c>
      <c r="F9" s="78" t="n">
        <v>12</v>
      </c>
    </row>
    <row r="10" ht="18" customHeight="1" s="15">
      <c r="B10" s="79" t="inlineStr">
        <is>
          <t>Verifiable work effort</t>
        </is>
      </c>
      <c r="D10" s="79" t="inlineStr">
        <is>
          <t>Evidence rows supporting effort</t>
        </is>
      </c>
      <c r="F10" s="79" t="inlineStr">
        <is>
          <t>Distinct days with logged evidence</t>
        </is>
      </c>
    </row>
    <row r="11" ht="7.5" customHeight="1" s="15"/>
    <row r="12" ht="24" customHeight="1" s="15">
      <c r="B12" s="90" t="inlineStr">
        <is>
          <t>TOKEN MANAGEMENT METRICS</t>
        </is>
      </c>
    </row>
    <row r="13" ht="21.75" customHeight="1" s="15">
      <c r="B13" s="80" t="inlineStr">
        <is>
          <t>Tokens Saved</t>
        </is>
      </c>
      <c r="D13" s="80" t="inlineStr">
        <is>
          <t>Token Sessions</t>
        </is>
      </c>
      <c r="F13" s="80" t="inlineStr">
        <is>
          <t>Est. Token Cost (USD)</t>
        </is>
      </c>
    </row>
    <row r="14" ht="30" customHeight="1" s="15">
      <c r="B14" s="81" t="n">
        <v>1012400</v>
      </c>
      <c r="D14" s="81" t="n">
        <v>8</v>
      </c>
      <c r="F14" s="94" t="n">
        <v>1829.84</v>
      </c>
    </row>
    <row r="15" ht="18" customHeight="1" s="15">
      <c r="B15" s="82" t="inlineStr">
        <is>
          <t>Estimated savings from memory/context flow</t>
        </is>
      </c>
      <c r="D15" s="82" t="inlineStr">
        <is>
          <t>Actual telemetry rows tracked</t>
        </is>
      </c>
      <c r="F15" s="82" t="inlineStr">
        <is>
          <t>Model-token cost estimate</t>
        </is>
      </c>
    </row>
    <row r="16" ht="7.5" customHeight="1" s="15"/>
    <row r="17" ht="24" customHeight="1" s="15">
      <c r="B17" s="90" t="inlineStr">
        <is>
          <t>WORKBOOK NAVIGATION</t>
        </is>
      </c>
    </row>
    <row r="18" ht="15" customHeight="1" s="15">
      <c r="B18" s="84" t="inlineStr">
        <is>
          <t>Sheet Name</t>
        </is>
      </c>
      <c r="D18" s="84" t="inlineStr">
        <is>
          <t>Description</t>
        </is>
      </c>
      <c r="G18" s="84" t="inlineStr">
        <is>
          <t>Records</t>
        </is>
      </c>
    </row>
    <row r="19" ht="15" customHeight="1" s="15">
      <c r="B19" s="85" t="inlineStr">
        <is>
          <t>Consolidated Report</t>
        </is>
      </c>
      <c r="C19" s="86" t="n"/>
      <c r="D19" s="87" t="inlineStr">
        <is>
          <t>Executive summary, phase breakdown, deliverables, cost posture</t>
        </is>
      </c>
      <c r="G19" s="92" t="inlineStr">
        <is>
          <t>8 phases · 57 sessions</t>
        </is>
      </c>
    </row>
    <row r="20" ht="15" customHeight="1" s="15">
      <c r="B20" s="88" t="inlineStr">
        <is>
          <t>Phase Comparison</t>
        </is>
      </c>
      <c r="D20" s="89" t="inlineStr">
        <is>
          <t>Formula-backed hours by phase with bar chart</t>
        </is>
      </c>
      <c r="G20" s="93" t="inlineStr">
        <is>
          <t>8 rows + chart</t>
        </is>
      </c>
    </row>
    <row r="21" ht="15" customHeight="1" s="15">
      <c r="B21" s="85" t="inlineStr">
        <is>
          <t>Daily Rollup</t>
        </is>
      </c>
      <c r="C21" s="86" t="n"/>
      <c r="D21" s="87" t="inlineStr">
        <is>
          <t>Latest-first daily hours and trend chart</t>
        </is>
      </c>
      <c r="G21" s="92" t="inlineStr">
        <is>
          <t>11 days + chart</t>
        </is>
      </c>
    </row>
    <row r="22" ht="15" customHeight="1" s="15">
      <c r="B22" s="88" t="inlineStr">
        <is>
          <t>All Sessions</t>
        </is>
      </c>
      <c r="D22" s="89" t="inlineStr">
        <is>
          <t>Complete evidence log sorted latest first</t>
        </is>
      </c>
      <c r="G22" s="93" t="inlineStr">
        <is>
          <t>57 sessions</t>
        </is>
      </c>
    </row>
    <row r="23" ht="15" customHeight="1" s="15">
      <c r="B23" s="85" t="inlineStr">
        <is>
          <t>Token Sessions</t>
        </is>
      </c>
      <c r="C23" s="86" t="n"/>
      <c r="D23" s="87" t="inlineStr">
        <is>
          <t>Per-session token telemetry sorted latest first</t>
        </is>
      </c>
      <c r="G23" s="92" t="inlineStr">
        <is>
          <t>8 tracked sessions</t>
        </is>
      </c>
    </row>
    <row r="24" ht="15" customHeight="1" s="15">
      <c r="B24" s="88" t="inlineStr">
        <is>
          <t>Token Daily Rollup</t>
        </is>
      </c>
      <c r="D24" s="89" t="inlineStr">
        <is>
          <t>Formula-backed token daily totals</t>
        </is>
      </c>
      <c r="G24" s="93" t="inlineStr">
        <is>
          <t>4 dates</t>
        </is>
      </c>
    </row>
    <row r="25" ht="15" customHeight="1" s="15">
      <c r="B25" s="85" t="inlineStr">
        <is>
          <t>Token Comparison</t>
        </is>
      </c>
      <c r="C25" s="86" t="n"/>
      <c r="D25" s="87" t="inlineStr">
        <is>
          <t>Worktree-level token rollup with formulas</t>
        </is>
      </c>
      <c r="G25" s="92" t="inlineStr">
        <is>
          <t>1 worktree + total</t>
        </is>
      </c>
    </row>
    <row r="26" ht="15" customHeight="1" s="15">
      <c r="B26" s="88" t="inlineStr">
        <is>
          <t>Backfill Notes</t>
        </is>
      </c>
      <c r="D26" s="89" t="inlineStr">
        <is>
          <t>Transparent data-quality flags and mitigations</t>
        </is>
      </c>
      <c r="G26" s="93" t="inlineStr">
        <is>
          <t>26 entries</t>
        </is>
      </c>
    </row>
    <row r="27" ht="15" customHeight="1" s="15">
      <c r="B27" s="85" t="inlineStr">
        <is>
          <t>Phase Detail Sheets</t>
        </is>
      </c>
      <c r="C27" s="86" t="n"/>
      <c r="D27" s="87" t="inlineStr">
        <is>
          <t>Idea Confirmation, Test Case Mgmt, Test Automation, Design &amp; Specs, Milestone Planning, Launch Creative, Development, Other</t>
        </is>
      </c>
      <c r="G27" s="92" t="inlineStr">
        <is>
          <t>60+ sessions</t>
        </is>
      </c>
    </row>
    <row r="29" ht="7.5" customHeight="1" s="15"/>
    <row r="30" ht="24" customHeight="1" s="15">
      <c r="B30" s="90" t="inlineStr">
        <is>
          <t>MANAGEMENT READING NOTES</t>
        </is>
      </c>
    </row>
    <row r="31" ht="18" customHeight="1" s="15">
      <c r="B31" s="43" t="inlineStr">
        <is>
          <t>1. Hours are verifiable work-log evidence. Chat-only research may mean true effort is higher.</t>
        </is>
      </c>
    </row>
    <row r="32" ht="18" customHeight="1" s="15">
      <c r="B32" s="43" t="inlineStr">
        <is>
          <t>2. Token savings are conservative estimates from memory injection and context preloading telemetry.</t>
        </is>
      </c>
    </row>
    <row r="33" ht="18" customHeight="1" s="15">
      <c r="B33" s="43" t="inlineStr">
        <is>
          <t>3. FE/BE token gaps are not hidden; they are listed in Backfill_Notes with mitigation status.</t>
        </is>
      </c>
    </row>
    <row r="34" ht="18" customHeight="1" s="15">
      <c r="B34" s="43" t="inlineStr">
        <is>
          <t>4. All core rollups use formulas so management totals update automatically when new rows are added.</t>
        </is>
      </c>
    </row>
    <row r="35" ht="18" customHeight="1" s="15">
      <c r="B35" s="43" t="inlineStr">
        <is>
          <t>5. Latest records are shown first (descending order) for immediate visibility of recent activity.</t>
        </is>
      </c>
    </row>
  </sheetData>
  <mergeCells count="38">
    <mergeCell ref="B2:G2"/>
    <mergeCell ref="D27:F27"/>
    <mergeCell ref="D10:E10"/>
    <mergeCell ref="F10:G10"/>
    <mergeCell ref="B34:G34"/>
    <mergeCell ref="F15:G15"/>
    <mergeCell ref="D13:E13"/>
    <mergeCell ref="D18:F18"/>
    <mergeCell ref="B14:C14"/>
    <mergeCell ref="B30:G30"/>
    <mergeCell ref="D25:F25"/>
    <mergeCell ref="B8:C8"/>
    <mergeCell ref="B33:G33"/>
    <mergeCell ref="D24:F24"/>
    <mergeCell ref="B13:C13"/>
    <mergeCell ref="F8:G8"/>
    <mergeCell ref="B5:G5"/>
    <mergeCell ref="D23:F23"/>
    <mergeCell ref="B10:C10"/>
    <mergeCell ref="B32:G32"/>
    <mergeCell ref="B4:G4"/>
    <mergeCell ref="D26:F26"/>
    <mergeCell ref="B35:G35"/>
    <mergeCell ref="F13:G13"/>
    <mergeCell ref="B9:C9"/>
    <mergeCell ref="D9:E9"/>
    <mergeCell ref="D20:F20"/>
    <mergeCell ref="F9:G9"/>
    <mergeCell ref="B3:G3"/>
    <mergeCell ref="D8:E8"/>
    <mergeCell ref="D19:F19"/>
    <mergeCell ref="B15:C15"/>
    <mergeCell ref="D15:E15"/>
    <mergeCell ref="B31:G31"/>
    <mergeCell ref="D22:F22"/>
    <mergeCell ref="D14:E14"/>
    <mergeCell ref="F14:G14"/>
    <mergeCell ref="D21:F2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68"/>
  <sheetViews>
    <sheetView showGridLines="0" workbookViewId="0">
      <selection activeCell="A1" sqref="A1"/>
    </sheetView>
  </sheetViews>
  <sheetFormatPr baseColWidth="8" defaultColWidth="8.6796875" defaultRowHeight="16.8"/>
  <cols>
    <col width="3" customWidth="1" style="15" min="1" max="1"/>
    <col width="14" customWidth="1" style="15" min="2" max="2"/>
    <col width="12" customWidth="1" style="15" min="3" max="3"/>
    <col width="22" customWidth="1" style="15" min="4" max="4"/>
    <col width="12" customWidth="1" style="15" min="5" max="5"/>
    <col width="10" customWidth="1" style="15" min="6" max="6"/>
    <col width="28" customWidth="1" style="15" min="7" max="7"/>
    <col width="114.75" customWidth="1" style="15" min="8" max="8"/>
    <col width="55" customWidth="1" style="15" min="9" max="9"/>
    <col width="50" customWidth="1" style="15" min="10" max="10"/>
  </cols>
  <sheetData>
    <row r="2" ht="31.5" customHeight="1" s="15">
      <c r="B2" s="1" t="inlineStr">
        <is>
          <t>All Sessions — Complete Evidence Log (Latest First)</t>
        </is>
      </c>
    </row>
    <row r="3" ht="15" customHeight="1" s="15">
      <c r="B3" s="17" t="inlineStr">
        <is>
          <t>Every session across every phase, sorted descending by date · 57 sessions · 59.89 verifiable hours</t>
        </is>
      </c>
    </row>
    <row r="5" ht="24" customHeight="1" s="15">
      <c r="B5" s="3" t="inlineStr">
        <is>
          <t>Date</t>
        </is>
      </c>
      <c r="C5" s="3" t="inlineStr">
        <is>
          <t>Day</t>
        </is>
      </c>
      <c r="D5" s="3" t="inlineStr">
        <is>
          <t>Timing</t>
        </is>
      </c>
      <c r="E5" s="3" t="inlineStr">
        <is>
          <t>Hours</t>
        </is>
      </c>
      <c r="F5" s="3" t="inlineStr">
        <is>
          <t>Files</t>
        </is>
      </c>
      <c r="G5" s="3" t="inlineStr">
        <is>
          <t>Phase</t>
        </is>
      </c>
      <c r="H5" s="3" t="inlineStr">
        <is>
          <t>Evidence / Theme</t>
        </is>
      </c>
      <c r="I5" s="3" t="inlineStr">
        <is>
          <t>What I Did</t>
        </is>
      </c>
      <c r="J5" s="3" t="inlineStr">
        <is>
          <t>Parallel Work (FE+BE)</t>
        </is>
      </c>
    </row>
    <row r="6" ht="19.5" customHeight="1" s="15">
      <c r="B6" s="5" t="inlineStr">
        <is>
          <t>2026-05-05</t>
        </is>
      </c>
      <c r="C6" s="5" t="inlineStr">
        <is>
          <t>Tuesday</t>
        </is>
      </c>
      <c r="D6" s="5" t="inlineStr">
        <is>
          <t>10:00 AM – 1:00 PM</t>
        </is>
      </c>
      <c r="E6" s="63" t="n">
        <v>3</v>
      </c>
      <c r="F6" s="32" t="n">
        <v>8</v>
      </c>
      <c r="G6" s="64" t="inlineStr">
        <is>
          <t>Milestone Planning</t>
        </is>
      </c>
      <c r="H6" s="5" t="inlineStr">
        <is>
          <t>M1 close ceremony</t>
        </is>
      </c>
      <c r="I6" s="5" t="inlineStr">
        <is>
          <t>M1 close ceremony — Day 9+10 combined. RBAC sweep 54/54 pass. Audit chain env-skip (no local DATABASE_URL). Filed m1-close-report.md (47 PRs, 358 tests, 21/41 frames, $0/month). Pushed tag m1-closed-2026-05-05. Posted m1-closed-announcement. Wrote Day-9+10-combined EOD report. PR #48 fix(web): f27 /admin/users 404 — users-api.ts relative URL fixed to NEXT_PUBLIC_API_BASE_URL (BE wiring was correct; FE bug). Bonus: better-auth pnpm hoist applied.</t>
        </is>
      </c>
    </row>
    <row r="7" ht="19.5" customHeight="1" s="15">
      <c r="B7" s="7" t="inlineStr">
        <is>
          <t>2026-05-03</t>
        </is>
      </c>
      <c r="C7" s="7" t="n"/>
      <c r="D7" s="7" t="n"/>
      <c r="E7" s="65" t="n">
        <v>7</v>
      </c>
      <c r="F7" s="35" t="n">
        <v>80</v>
      </c>
      <c r="G7" s="64" t="inlineStr">
        <is>
          <t>Milestone Planning</t>
        </is>
      </c>
      <c r="H7" s="7" t="inlineStr">
        <is>
          <t>M0 close ceremony</t>
        </is>
      </c>
      <c r="I7" s="7" t="inlineStr">
        <is>
          <t>M0 close ceremony — Steps A-I + Step E. PRs #21+#22+#23+#24 squash-merged; PR #25 (FE M2) opened as Draft. Followups (t) closed via PR #24, (u)+(v) filed. CLAUDE.md Hard Rule #3 updated for 3-folder frame inventory post Claude Design v2 supersede. M0 completion report at docs/milestones/M0_completion_report.md. 4th halt-to-root-cause pattern codified (refined pre-merge gate: compare PR vs main, only NEW failures gate). 102 commits over M0 window, 17 PASS / 0 FAIL / 2 DEFERRED to M1.5. Final main HEAD 44b06ef.</t>
        </is>
      </c>
    </row>
    <row r="8" ht="19.5" customHeight="1" s="15">
      <c r="B8" s="5" t="inlineStr">
        <is>
          <t>2026-04-27</t>
        </is>
      </c>
      <c r="C8" s="5" t="inlineStr">
        <is>
          <t>Monday</t>
        </is>
      </c>
      <c r="D8" s="5" t="inlineStr">
        <is>
          <t>10:04 AM – 11:31 AM</t>
        </is>
      </c>
      <c r="E8" s="63" t="n">
        <v>1.68</v>
      </c>
      <c r="F8" s="32" t="n">
        <v>234</v>
      </c>
      <c r="G8" s="66" t="inlineStr">
        <is>
          <t>Development</t>
        </is>
      </c>
      <c r="H8" s="5" t="inlineStr">
        <is>
          <t>memory.md · api.md · database.md</t>
        </is>
      </c>
      <c r="I8" s="5" t="n"/>
    </row>
    <row r="9" ht="19.5" customHeight="1" s="15">
      <c r="B9" s="7" t="inlineStr">
        <is>
          <t>2026-04-27</t>
        </is>
      </c>
      <c r="C9" s="7" t="inlineStr">
        <is>
          <t>Monday</t>
        </is>
      </c>
      <c r="D9" s="7" t="inlineStr">
        <is>
          <t>10:35 AM – 10:49 AM</t>
        </is>
      </c>
      <c r="E9" s="65" t="n">
        <v>0.5</v>
      </c>
      <c r="F9" s="35" t="n">
        <v>153</v>
      </c>
      <c r="G9" s="67" t="inlineStr">
        <is>
          <t>Design &amp; Specifications</t>
        </is>
      </c>
      <c r="H9" s="7" t="inlineStr">
        <is>
          <t>QA_Nexus_Tech_Stack.docx · ERD.docx · ERD.drawio</t>
        </is>
      </c>
      <c r="I9" s="7" t="n"/>
    </row>
    <row r="10" ht="19.5" customHeight="1" s="15">
      <c r="B10" s="5" t="inlineStr">
        <is>
          <t>2026-04-27</t>
        </is>
      </c>
      <c r="C10" s="5" t="inlineStr">
        <is>
          <t>Monday</t>
        </is>
      </c>
      <c r="D10" s="5" t="inlineStr">
        <is>
          <t>10:47 AM – 10:49 AM</t>
        </is>
      </c>
      <c r="E10" s="63" t="n">
        <v>0.5</v>
      </c>
      <c r="F10" s="32" t="n">
        <v>248</v>
      </c>
      <c r="G10" s="64" t="inlineStr">
        <is>
          <t>Milestone Planning</t>
        </is>
      </c>
      <c r="H10" s="5" t="inlineStr">
        <is>
          <t>AUDIT_REMEDIATION_WAVE_3_REPORT.md · FINAL_REVIEW.md · FINAL_REVIEW_MVP_ARCHIVE.md</t>
        </is>
      </c>
      <c r="I10" s="5" t="n"/>
    </row>
    <row r="11" ht="19.5" customHeight="1" s="15">
      <c r="B11" s="7" t="inlineStr">
        <is>
          <t>2026-04-27</t>
        </is>
      </c>
      <c r="C11" s="7" t="inlineStr">
        <is>
          <t>Monday</t>
        </is>
      </c>
      <c r="D11" s="7" t="inlineStr">
        <is>
          <t>1:19 PM – 1:19 PM</t>
        </is>
      </c>
      <c r="E11" s="65" t="n">
        <v>0.5</v>
      </c>
      <c r="F11" s="35" t="n">
        <v>16</v>
      </c>
      <c r="G11" s="66" t="inlineStr">
        <is>
          <t>Development</t>
        </is>
      </c>
      <c r="H11" s="7" t="inlineStr">
        <is>
          <t>audit-log.sh · report-token-savings.sh · check-secrets.sh</t>
        </is>
      </c>
      <c r="I11" s="7" t="n"/>
    </row>
    <row r="12" ht="19.5" customHeight="1" s="15">
      <c r="B12" s="5" t="inlineStr">
        <is>
          <t>2026-04-27</t>
        </is>
      </c>
      <c r="C12" s="5" t="inlineStr">
        <is>
          <t>Monday</t>
        </is>
      </c>
      <c r="D12" s="5" t="inlineStr">
        <is>
          <t>2:25 PM – 4:12 PM</t>
        </is>
      </c>
      <c r="E12" s="63" t="n">
        <v>2.03</v>
      </c>
      <c r="F12" s="32" t="n">
        <v>49</v>
      </c>
      <c r="G12" s="66" t="inlineStr">
        <is>
          <t>Development</t>
        </is>
      </c>
      <c r="H12" s="5" t="inlineStr">
        <is>
          <t>token-savings.jsonl · block-dangerous.sh · .gitleaks.toml</t>
        </is>
      </c>
      <c r="I12" s="5" t="n"/>
    </row>
    <row r="13" ht="19.5" customHeight="1" s="15">
      <c r="B13" s="7" t="inlineStr">
        <is>
          <t>2026-04-27</t>
        </is>
      </c>
      <c r="C13" s="7" t="inlineStr">
        <is>
          <t>Monday</t>
        </is>
      </c>
      <c r="D13" s="7" t="inlineStr">
        <is>
          <t>5:58 PM – 8:44 PM</t>
        </is>
      </c>
      <c r="E13" s="65" t="n">
        <v>3</v>
      </c>
      <c r="F13" s="35" t="n">
        <v>143</v>
      </c>
      <c r="G13" s="66" t="inlineStr">
        <is>
          <t>Development</t>
        </is>
      </c>
      <c r="H13" s="7" t="inlineStr">
        <is>
          <t>settings.local.json · deploy-check.md · sync-worktree.md</t>
        </is>
      </c>
      <c r="I13" s="7" t="n"/>
    </row>
    <row r="14" ht="19.5" customHeight="1" s="15">
      <c r="B14" s="5" t="inlineStr">
        <is>
          <t>2026-04-27</t>
        </is>
      </c>
      <c r="C14" s="5" t="inlineStr">
        <is>
          <t>Monday</t>
        </is>
      </c>
      <c r="D14" s="5" t="inlineStr">
        <is>
          <t>8:55 PM – 9:49 PM</t>
        </is>
      </c>
      <c r="E14" s="63" t="n">
        <v>1.15</v>
      </c>
      <c r="F14" s="32" t="n">
        <v>3</v>
      </c>
      <c r="G14" s="68" t="inlineStr">
        <is>
          <t>Other</t>
        </is>
      </c>
      <c r="H14" s="5" t="inlineStr">
        <is>
          <t>.~lock.QA_Nexus_Work_Hours_Log.xlsx# · lu1418u8yh.tmp · lu13993vzx.tmp</t>
        </is>
      </c>
      <c r="I14" s="5" t="n"/>
    </row>
    <row r="15" ht="19.5" customHeight="1" s="15">
      <c r="B15" s="7" t="inlineStr">
        <is>
          <t>2026-04-27</t>
        </is>
      </c>
      <c r="C15" s="7" t="inlineStr">
        <is>
          <t>Monday</t>
        </is>
      </c>
      <c r="D15" s="7" t="inlineStr">
        <is>
          <t>9:44 PM – 10:10 PM</t>
        </is>
      </c>
      <c r="E15" s="65" t="n">
        <v>0.68</v>
      </c>
      <c r="F15" s="35" t="n">
        <v>3</v>
      </c>
      <c r="G15" s="66" t="inlineStr">
        <is>
          <t>Test Automation &amp; Reporting</t>
        </is>
      </c>
      <c r="H15" s="7" t="inlineStr">
        <is>
          <t>BrowserStack AI Agents — Document Finalisation</t>
        </is>
      </c>
      <c r="I15" s="7" t="n"/>
    </row>
    <row r="16" ht="19.5" customHeight="1" s="15">
      <c r="B16" s="5" t="inlineStr">
        <is>
          <t>2026-04-26</t>
        </is>
      </c>
      <c r="C16" s="5" t="inlineStr">
        <is>
          <t>Sunday</t>
        </is>
      </c>
      <c r="D16" s="5" t="inlineStr">
        <is>
          <t>1:17 PM – 2:17 PM</t>
        </is>
      </c>
      <c r="E16" s="63" t="n">
        <v>1.23</v>
      </c>
      <c r="F16" s="32" t="n">
        <v>9</v>
      </c>
      <c r="G16" s="69" t="inlineStr">
        <is>
          <t>Launch Creative</t>
        </is>
      </c>
      <c r="H16" s="5" t="inlineStr">
        <is>
          <t>qa-nexus-stack-diagram.svg · qa-nexus-stack-animated.html · qa-nexus-stack-logos.svg</t>
        </is>
      </c>
      <c r="I16" s="5" t="n"/>
    </row>
    <row r="17" ht="19.5" customHeight="1" s="15">
      <c r="B17" s="7" t="inlineStr">
        <is>
          <t>2026-04-26</t>
        </is>
      </c>
      <c r="C17" s="7" t="inlineStr">
        <is>
          <t>Sunday</t>
        </is>
      </c>
      <c r="D17" s="7" t="inlineStr">
        <is>
          <t>2:29 PM – 2:29 PM</t>
        </is>
      </c>
      <c r="E17" s="65" t="n">
        <v>0.5</v>
      </c>
      <c r="F17" s="35" t="n">
        <v>574</v>
      </c>
      <c r="G17" s="66" t="inlineStr">
        <is>
          <t>Development</t>
        </is>
      </c>
      <c r="H17" s="7" t="inlineStr">
        <is>
          <t>e9502cdb · 3a4bb885 · 3147a1e3</t>
        </is>
      </c>
      <c r="I17" s="7" t="n"/>
    </row>
    <row r="18" ht="19.5" customHeight="1" s="15">
      <c r="B18" s="5" t="inlineStr">
        <is>
          <t>2026-04-26</t>
        </is>
      </c>
      <c r="C18" s="5" t="inlineStr">
        <is>
          <t>Sunday</t>
        </is>
      </c>
      <c r="D18" s="5" t="inlineStr">
        <is>
          <t>2:40 PM – 2:42 PM</t>
        </is>
      </c>
      <c r="E18" s="63" t="n">
        <v>0.5</v>
      </c>
      <c r="F18" s="32" t="n">
        <v>4</v>
      </c>
      <c r="G18" s="67" t="inlineStr">
        <is>
          <t>Design &amp; Specifications</t>
        </is>
      </c>
      <c r="H18" s="5" t="inlineStr">
        <is>
          <t>PRD.md · PRD.md · ERD.md</t>
        </is>
      </c>
      <c r="I18" s="5" t="n"/>
    </row>
    <row r="19" ht="19.5" customHeight="1" s="15">
      <c r="B19" s="7" t="inlineStr">
        <is>
          <t>2026-04-26</t>
        </is>
      </c>
      <c r="C19" s="7" t="inlineStr">
        <is>
          <t>Sunday</t>
        </is>
      </c>
      <c r="D19" s="7" t="inlineStr">
        <is>
          <t>3:45 PM – 3:45 PM</t>
        </is>
      </c>
      <c r="E19" s="65" t="n">
        <v>0.5</v>
      </c>
      <c r="F19" s="35" t="n">
        <v>1</v>
      </c>
      <c r="G19" s="64" t="inlineStr">
        <is>
          <t>Milestone Planning</t>
        </is>
      </c>
      <c r="H19" s="7" t="inlineStr">
        <is>
          <t>Milestone_M0_Setup_v8.md</t>
        </is>
      </c>
      <c r="I19" s="7" t="n"/>
    </row>
    <row r="20" ht="19.5" customHeight="1" s="15">
      <c r="B20" s="5" t="inlineStr">
        <is>
          <t>2026-04-26</t>
        </is>
      </c>
      <c r="C20" s="5" t="inlineStr">
        <is>
          <t>Sunday</t>
        </is>
      </c>
      <c r="D20" s="5" t="inlineStr">
        <is>
          <t>3:57 PM – 3:58 PM</t>
        </is>
      </c>
      <c r="E20" s="63" t="n">
        <v>0.5</v>
      </c>
      <c r="F20" s="32" t="n">
        <v>2</v>
      </c>
      <c r="G20" s="67" t="inlineStr">
        <is>
          <t>Design &amp; Specifications</t>
        </is>
      </c>
      <c r="H20" s="5" t="inlineStr">
        <is>
          <t>PM1_ERD.md · PM1_ERD.md</t>
        </is>
      </c>
      <c r="I20" s="5" t="n"/>
    </row>
    <row r="21" ht="19.5" customHeight="1" s="15">
      <c r="B21" s="7" t="inlineStr">
        <is>
          <t>2026-04-26</t>
        </is>
      </c>
      <c r="C21" s="7" t="inlineStr">
        <is>
          <t>Sunday</t>
        </is>
      </c>
      <c r="D21" s="7" t="inlineStr">
        <is>
          <t>5:52 PM – 5:53 PM</t>
        </is>
      </c>
      <c r="E21" s="65" t="n">
        <v>0.5</v>
      </c>
      <c r="F21" s="35" t="n">
        <v>2</v>
      </c>
      <c r="G21" s="64" t="inlineStr">
        <is>
          <t>Milestone Planning</t>
        </is>
      </c>
      <c r="H21" s="7" t="inlineStr">
        <is>
          <t>Milestone_M5_Automation_Basic_Reports_MVP_Launch.md · Milestone_M5_Automation_Basic_Reports_MVP_Launch.md</t>
        </is>
      </c>
      <c r="I21" s="7" t="n"/>
    </row>
    <row r="22" ht="19.5" customHeight="1" s="15">
      <c r="B22" s="5" t="inlineStr">
        <is>
          <t>2026-04-26</t>
        </is>
      </c>
      <c r="C22" s="5" t="inlineStr">
        <is>
          <t>Sunday</t>
        </is>
      </c>
      <c r="D22" s="5" t="inlineStr">
        <is>
          <t>5:56 PM – 10:20 PM</t>
        </is>
      </c>
      <c r="E22" s="63" t="n">
        <v>4.63</v>
      </c>
      <c r="F22" s="32" t="n">
        <v>126</v>
      </c>
      <c r="G22" s="66" t="inlineStr">
        <is>
          <t>Development</t>
        </is>
      </c>
      <c r="H22" s="5" t="inlineStr">
        <is>
          <t>.editorconfig · .prettierrc.json · .nvmrc</t>
        </is>
      </c>
      <c r="I22" s="5" t="n"/>
    </row>
    <row r="23" ht="19.5" customHeight="1" s="15">
      <c r="B23" s="7" t="inlineStr">
        <is>
          <t>2026-04-26</t>
        </is>
      </c>
      <c r="C23" s="7" t="inlineStr">
        <is>
          <t>Sunday</t>
        </is>
      </c>
      <c r="D23" s="7" t="inlineStr">
        <is>
          <t>8:43 PM – 8:44 PM</t>
        </is>
      </c>
      <c r="E23" s="65" t="n">
        <v>0.5</v>
      </c>
      <c r="F23" s="35" t="n">
        <v>5</v>
      </c>
      <c r="G23" s="67" t="inlineStr">
        <is>
          <t>Design &amp; Specifications</t>
        </is>
      </c>
      <c r="H23" s="7" t="inlineStr">
        <is>
          <t>PM1_PRD.md · CLAUDE_KICKOFF_PROMPT.md · 01_SYSTEM.md</t>
        </is>
      </c>
      <c r="I23" s="7" t="n"/>
    </row>
    <row r="24" ht="19.5" customHeight="1" s="15">
      <c r="B24" s="5" t="inlineStr">
        <is>
          <t>2026-04-26</t>
        </is>
      </c>
      <c r="C24" s="5" t="inlineStr">
        <is>
          <t>Sunday</t>
        </is>
      </c>
      <c r="D24" s="5" t="inlineStr">
        <is>
          <t>8:54 PM – 8:54 PM</t>
        </is>
      </c>
      <c r="E24" s="63" t="n">
        <v>0.5</v>
      </c>
      <c r="F24" s="32" t="n">
        <v>1</v>
      </c>
      <c r="G24" s="64" t="inlineStr">
        <is>
          <t>Milestone Planning</t>
        </is>
      </c>
      <c r="H24" s="5" t="inlineStr">
        <is>
          <t>Milestone_M0_Setup_v8.md</t>
        </is>
      </c>
      <c r="I24" s="5" t="n"/>
    </row>
    <row r="25" ht="19.5" customHeight="1" s="15">
      <c r="B25" s="7" t="inlineStr">
        <is>
          <t>2026-04-25</t>
        </is>
      </c>
      <c r="C25" s="7" t="inlineStr">
        <is>
          <t>Saturday</t>
        </is>
      </c>
      <c r="D25" s="7" t="inlineStr">
        <is>
          <t>11:00 PM – 11:02 PM</t>
        </is>
      </c>
      <c r="E25" s="65" t="n">
        <v>0.5</v>
      </c>
      <c r="F25" s="35" t="n">
        <v>23</v>
      </c>
      <c r="G25" s="64" t="inlineStr">
        <is>
          <t>Milestone Planning</t>
        </is>
      </c>
      <c r="H25" s="7" t="inlineStr">
        <is>
          <t>Milestone_M1_Users_Roles.md · Milestone_M1_Users_Roles.md · Milestone_M2_Docs_KB.md</t>
        </is>
      </c>
      <c r="I25" s="7" t="n"/>
    </row>
    <row r="26" ht="19.5" customHeight="1" s="15">
      <c r="B26" s="5" t="inlineStr">
        <is>
          <t>2026-04-25</t>
        </is>
      </c>
      <c r="C26" s="5" t="inlineStr">
        <is>
          <t>Saturday</t>
        </is>
      </c>
      <c r="D26" s="5" t="inlineStr">
        <is>
          <t>7:09 PM – 7:09 PM</t>
        </is>
      </c>
      <c r="E26" s="63" t="n">
        <v>0.5</v>
      </c>
      <c r="F26" s="32" t="n">
        <v>72</v>
      </c>
      <c r="G26" s="64" t="inlineStr">
        <is>
          <t>Milestone Planning</t>
        </is>
      </c>
      <c r="H26" s="5" t="inlineStr">
        <is>
          <t>gantt.png · gantt.png · risk_heatmap.png</t>
        </is>
      </c>
      <c r="I26" s="5" t="n"/>
    </row>
    <row r="27" ht="19.5" customHeight="1" s="15">
      <c r="B27" s="7" t="inlineStr">
        <is>
          <t>2026-04-25</t>
        </is>
      </c>
      <c r="C27" s="7" t="inlineStr">
        <is>
          <t>Saturday</t>
        </is>
      </c>
      <c r="D27" s="7" t="inlineStr">
        <is>
          <t>8:26 AM – 8:26 AM</t>
        </is>
      </c>
      <c r="E27" s="65" t="n">
        <v>0.5</v>
      </c>
      <c r="F27" s="35" t="n">
        <v>2</v>
      </c>
      <c r="G27" s="67" t="inlineStr">
        <is>
          <t>Design &amp; Specifications</t>
        </is>
      </c>
      <c r="H27" s="7" t="inlineStr">
        <is>
          <t>F14m3 Convert to Jira Story Modal.html · F14m3 Convert to Jira Story Modal.html</t>
        </is>
      </c>
      <c r="I27" s="7" t="n"/>
    </row>
    <row r="28" ht="19.5" customHeight="1" s="15">
      <c r="B28" s="5" t="inlineStr">
        <is>
          <t>2026-04-25</t>
        </is>
      </c>
      <c r="C28" s="5" t="inlineStr">
        <is>
          <t>Saturday</t>
        </is>
      </c>
      <c r="D28" s="5" t="inlineStr">
        <is>
          <t>9:21 PM – 10:43 PM</t>
        </is>
      </c>
      <c r="E28" s="63" t="n">
        <v>1.62</v>
      </c>
      <c r="F28" s="32" t="n">
        <v>20</v>
      </c>
      <c r="G28" s="67" t="inlineStr">
        <is>
          <t>Design &amp; Specifications</t>
        </is>
      </c>
      <c r="H28" s="5" t="inlineStr">
        <is>
          <t>QA_Nexus_Master_Brainstorm.md · QA_Nexus_Master_Brainstorm.md · project_analysis.md</t>
        </is>
      </c>
      <c r="I28" s="5" t="n"/>
    </row>
    <row r="29" ht="19.5" customHeight="1" s="15">
      <c r="B29" s="7" t="inlineStr">
        <is>
          <t>2026-04-25</t>
        </is>
      </c>
      <c r="C29" s="7" t="inlineStr">
        <is>
          <t>Saturday</t>
        </is>
      </c>
      <c r="D29" s="7" t="inlineStr">
        <is>
          <t>9:22 PM – 9:32 PM</t>
        </is>
      </c>
      <c r="E29" s="65" t="n">
        <v>0.5</v>
      </c>
      <c r="F29" s="35" t="n">
        <v>6</v>
      </c>
      <c r="G29" s="64" t="inlineStr">
        <is>
          <t>Milestone Planning</t>
        </is>
      </c>
      <c r="H29" s="7" t="inlineStr">
        <is>
          <t>Milestone_M0_Setup.md · Milestone_M0_Setup.md · Milestone_M0_Setup.md</t>
        </is>
      </c>
      <c r="I29" s="7" t="n"/>
    </row>
    <row r="30" ht="19.5" customHeight="1" s="15">
      <c r="B30" s="5" t="inlineStr">
        <is>
          <t>2026-04-25</t>
        </is>
      </c>
      <c r="C30" s="5" t="inlineStr">
        <is>
          <t>Saturday</t>
        </is>
      </c>
      <c r="D30" s="5" t="inlineStr">
        <is>
          <t>9:41 AM – 12:43 PM</t>
        </is>
      </c>
      <c r="E30" s="63" t="n">
        <v>3.27</v>
      </c>
      <c r="F30" s="32" t="n">
        <v>26</v>
      </c>
      <c r="G30" s="67" t="inlineStr">
        <is>
          <t>Design &amp; Specifications</t>
        </is>
      </c>
      <c r="H30" s="5" t="inlineStr">
        <is>
          <t>F15 Knowledge Base.html · F15 Knowledge Base.html · F16a Test Case Method Chooser.html</t>
        </is>
      </c>
      <c r="I30" s="5" t="n"/>
    </row>
    <row r="31" ht="19.5" customHeight="1" s="15">
      <c r="B31" s="7" t="inlineStr">
        <is>
          <t>2026-04-24</t>
        </is>
      </c>
      <c r="C31" s="7" t="inlineStr">
        <is>
          <t>Friday</t>
        </is>
      </c>
      <c r="D31" s="7" t="inlineStr">
        <is>
          <t>10:46 PM – 10:46 PM</t>
        </is>
      </c>
      <c r="E31" s="65" t="n">
        <v>0.5</v>
      </c>
      <c r="F31" s="35" t="n">
        <v>1</v>
      </c>
      <c r="G31" s="66" t="inlineStr">
        <is>
          <t>Development</t>
        </is>
      </c>
      <c r="H31" s="7" t="inlineStr">
        <is>
          <t>settings.local.json</t>
        </is>
      </c>
      <c r="I31" s="7" t="n"/>
    </row>
    <row r="32" ht="19.5" customHeight="1" s="15">
      <c r="B32" s="5" t="inlineStr">
        <is>
          <t>2026-04-24</t>
        </is>
      </c>
      <c r="C32" s="5" t="inlineStr">
        <is>
          <t>Friday</t>
        </is>
      </c>
      <c r="D32" s="5" t="inlineStr">
        <is>
          <t>10:46 PM – 10:46 PM</t>
        </is>
      </c>
      <c r="E32" s="63" t="n">
        <v>0.5</v>
      </c>
      <c r="F32" s="32" t="n">
        <v>1</v>
      </c>
      <c r="G32" s="68" t="inlineStr">
        <is>
          <t>Other</t>
        </is>
      </c>
      <c r="H32" s="5" t="inlineStr">
        <is>
          <t>settings.local.json</t>
        </is>
      </c>
      <c r="I32" s="5" t="n"/>
    </row>
    <row r="33" ht="19.5" customHeight="1" s="15">
      <c r="B33" s="7" t="inlineStr">
        <is>
          <t>2026-04-24</t>
        </is>
      </c>
      <c r="C33" s="7" t="inlineStr">
        <is>
          <t>Friday</t>
        </is>
      </c>
      <c r="D33" s="7" t="inlineStr">
        <is>
          <t>11:11 PM – 12:12 AM</t>
        </is>
      </c>
      <c r="E33" s="65" t="n">
        <v>1.27</v>
      </c>
      <c r="F33" s="35" t="n">
        <v>16</v>
      </c>
      <c r="G33" s="67" t="inlineStr">
        <is>
          <t>Design &amp; Specifications</t>
        </is>
      </c>
      <c r="H33" s="7" t="inlineStr">
        <is>
          <t>F06b Set Reset Password.html · F06b Set Reset Password.html · F06c Reset Password.html</t>
        </is>
      </c>
      <c r="I33" s="7" t="n"/>
    </row>
    <row r="34" ht="19.5" customHeight="1" s="15">
      <c r="B34" s="5" t="inlineStr">
        <is>
          <t>2026-04-24</t>
        </is>
      </c>
      <c r="C34" s="5" t="inlineStr">
        <is>
          <t>Friday</t>
        </is>
      </c>
      <c r="D34" s="5" t="inlineStr">
        <is>
          <t>11:51 AM – 12:28 PM</t>
        </is>
      </c>
      <c r="E34" s="63" t="n">
        <v>0.87</v>
      </c>
      <c r="F34" s="32" t="n">
        <v>16</v>
      </c>
      <c r="G34" s="67" t="inlineStr">
        <is>
          <t>Design &amp; Specifications</t>
        </is>
      </c>
      <c r="H34" s="5" t="inlineStr">
        <is>
          <t>01-home.html · 02-test-cases.html · 03-ai-generator.html</t>
        </is>
      </c>
      <c r="I34" s="5" t="n"/>
    </row>
    <row r="35" ht="19.5" customHeight="1" s="15">
      <c r="B35" s="7" t="inlineStr">
        <is>
          <t>2026-04-24</t>
        </is>
      </c>
      <c r="C35" s="7" t="inlineStr">
        <is>
          <t>Friday</t>
        </is>
      </c>
      <c r="D35" s="7" t="inlineStr">
        <is>
          <t>3:41 PM – 3:41 PM</t>
        </is>
      </c>
      <c r="E35" s="65" t="n">
        <v>0.5</v>
      </c>
      <c r="F35" s="35" t="n">
        <v>2</v>
      </c>
      <c r="G35" s="64" t="inlineStr">
        <is>
          <t>Milestone Planning</t>
        </is>
      </c>
      <c r="H35" s="7" t="inlineStr">
        <is>
          <t>Milestone_M17_Enterprise_Auth_Slack.md · Milestone_M17_Enterprise_Auth_Slack.md</t>
        </is>
      </c>
      <c r="I35" s="7" t="n"/>
    </row>
    <row r="36" ht="19.5" customHeight="1" s="15">
      <c r="B36" s="5" t="inlineStr">
        <is>
          <t>2026-04-24</t>
        </is>
      </c>
      <c r="C36" s="5" t="inlineStr">
        <is>
          <t>Friday</t>
        </is>
      </c>
      <c r="D36" s="5" t="inlineStr">
        <is>
          <t>6:05 PM – 6:23 PM</t>
        </is>
      </c>
      <c r="E36" s="63" t="n">
        <v>0.55</v>
      </c>
      <c r="F36" s="32" t="n">
        <v>36</v>
      </c>
      <c r="G36" s="67" t="inlineStr">
        <is>
          <t>Design &amp; Specifications</t>
        </is>
      </c>
      <c r="H36" s="5" t="inlineStr">
        <is>
          <t>F07 First-Run Onboarding.html · F07 First-Run Onboarding.html · F06 Sign In.html</t>
        </is>
      </c>
      <c r="I36" s="5" t="n"/>
    </row>
    <row r="37" ht="19.5" customHeight="1" s="15">
      <c r="B37" s="7" t="inlineStr">
        <is>
          <t>2026-04-24</t>
        </is>
      </c>
      <c r="C37" s="7" t="inlineStr">
        <is>
          <t>Friday</t>
        </is>
      </c>
      <c r="D37" s="7" t="inlineStr">
        <is>
          <t>7:40 PM – 7:40 PM</t>
        </is>
      </c>
      <c r="E37" s="65" t="n">
        <v>0.5</v>
      </c>
      <c r="F37" s="35" t="n">
        <v>2</v>
      </c>
      <c r="G37" s="64" t="inlineStr">
        <is>
          <t>Milestone Planning</t>
        </is>
      </c>
      <c r="H37" s="7" t="inlineStr">
        <is>
          <t>MILESTONE_REGISTRY.md · MILESTONE_REGISTRY.md</t>
        </is>
      </c>
      <c r="I37" s="7" t="n"/>
    </row>
    <row r="38" ht="19.5" customHeight="1" s="15">
      <c r="B38" s="5" t="inlineStr">
        <is>
          <t>2026-04-24</t>
        </is>
      </c>
      <c r="C38" s="5" t="inlineStr">
        <is>
          <t>Friday</t>
        </is>
      </c>
      <c r="D38" s="5" t="inlineStr">
        <is>
          <t>7:54 PM – 8:27 PM</t>
        </is>
      </c>
      <c r="E38" s="63" t="n">
        <v>0.8</v>
      </c>
      <c r="F38" s="32" t="n">
        <v>4</v>
      </c>
      <c r="G38" s="67" t="inlineStr">
        <is>
          <t>Design &amp; Specifications</t>
        </is>
      </c>
      <c r="H38" s="5" t="inlineStr">
        <is>
          <t>05_ANALYSE_AND_GOVERN.md · 05_ANALYSE_AND_GOVERN.md · 02_ENTRY_AND_HOME.md</t>
        </is>
      </c>
      <c r="I38" s="5" t="n"/>
    </row>
    <row r="39" ht="19.5" customHeight="1" s="15">
      <c r="B39" s="7" t="inlineStr">
        <is>
          <t>2026-04-24</t>
        </is>
      </c>
      <c r="C39" s="7" t="inlineStr">
        <is>
          <t>Friday</t>
        </is>
      </c>
      <c r="D39" s="7" t="inlineStr">
        <is>
          <t>9:51 PM – 9:51 PM</t>
        </is>
      </c>
      <c r="E39" s="65" t="n">
        <v>0.5</v>
      </c>
      <c r="F39" s="35" t="n">
        <v>2</v>
      </c>
      <c r="G39" s="67" t="inlineStr">
        <is>
          <t>Design &amp; Specifications</t>
        </is>
      </c>
      <c r="H39" s="7" t="inlineStr">
        <is>
          <t>PROJECT_UI_DESIGN_TOKENS.json · PROJECT_UI_DESIGN_TOKENS.json</t>
        </is>
      </c>
      <c r="I39" s="7" t="n"/>
    </row>
    <row r="40" ht="19.5" customHeight="1" s="15">
      <c r="B40" s="5" t="inlineStr">
        <is>
          <t>2026-04-23</t>
        </is>
      </c>
      <c r="C40" s="5" t="inlineStr">
        <is>
          <t>Thursday</t>
        </is>
      </c>
      <c r="D40" s="5" t="inlineStr">
        <is>
          <t>10:30 AM – 10:30 AM</t>
        </is>
      </c>
      <c r="E40" s="63" t="n">
        <v>0.5</v>
      </c>
      <c r="F40" s="32" t="n">
        <v>1</v>
      </c>
      <c r="G40" s="67" t="inlineStr">
        <is>
          <t>Design &amp; Specifications</t>
        </is>
      </c>
      <c r="H40" s="5" t="inlineStr">
        <is>
          <t>MVP_PRD.md</t>
        </is>
      </c>
      <c r="I40" s="5" t="n"/>
    </row>
    <row r="41" ht="19.5" customHeight="1" s="15">
      <c r="B41" s="7" t="inlineStr">
        <is>
          <t>2026-04-23</t>
        </is>
      </c>
      <c r="C41" s="7" t="inlineStr">
        <is>
          <t>Thursday</t>
        </is>
      </c>
      <c r="D41" s="7" t="inlineStr">
        <is>
          <t>11:03 AM – 11:03 AM</t>
        </is>
      </c>
      <c r="E41" s="65" t="n">
        <v>0.5</v>
      </c>
      <c r="F41" s="35" t="n">
        <v>1</v>
      </c>
      <c r="G41" s="66" t="inlineStr">
        <is>
          <t>Development</t>
        </is>
      </c>
      <c r="H41" s="7" t="inlineStr">
        <is>
          <t>PROJECT_DOCUMENT_AUDIT_REPORT.md</t>
        </is>
      </c>
      <c r="I41" s="7" t="n"/>
    </row>
    <row r="42" ht="19.5" customHeight="1" s="15">
      <c r="B42" s="5" t="inlineStr">
        <is>
          <t>2026-04-23</t>
        </is>
      </c>
      <c r="C42" s="5" t="inlineStr">
        <is>
          <t>Thursday</t>
        </is>
      </c>
      <c r="D42" s="5" t="inlineStr">
        <is>
          <t>11:03 AM – 11:03 AM</t>
        </is>
      </c>
      <c r="E42" s="63" t="n">
        <v>0.5</v>
      </c>
      <c r="F42" s="32" t="n">
        <v>1</v>
      </c>
      <c r="G42" s="68" t="inlineStr">
        <is>
          <t>Other</t>
        </is>
      </c>
      <c r="H42" s="5" t="inlineStr">
        <is>
          <t>PROJECT_DOCUMENT_AUDIT_REPORT.md</t>
        </is>
      </c>
      <c r="I42" s="5" t="n"/>
    </row>
    <row r="43" ht="19.5" customHeight="1" s="15">
      <c r="B43" s="7" t="inlineStr">
        <is>
          <t>2026-04-23</t>
        </is>
      </c>
      <c r="C43" s="7" t="inlineStr">
        <is>
          <t>Thursday</t>
        </is>
      </c>
      <c r="D43" s="7" t="inlineStr">
        <is>
          <t>11:58 AM – 1:33 PM</t>
        </is>
      </c>
      <c r="E43" s="65" t="n">
        <v>1.82</v>
      </c>
      <c r="F43" s="35" t="n">
        <v>7</v>
      </c>
      <c r="G43" s="67" t="inlineStr">
        <is>
          <t>Design &amp; Specifications</t>
        </is>
      </c>
      <c r="H43" s="7" t="inlineStr">
        <is>
          <t>PROJECT_UI_UX_REDESIGN.md · PROJECT_UI_FRAME_MAP.md · PROJECT_UI_GENERATION_PROMPT.md</t>
        </is>
      </c>
      <c r="I43" s="7" t="n"/>
    </row>
    <row r="44" ht="19.5" customHeight="1" s="15">
      <c r="B44" s="5" t="inlineStr">
        <is>
          <t>2026-04-23</t>
        </is>
      </c>
      <c r="C44" s="5" t="inlineStr">
        <is>
          <t>Thursday</t>
        </is>
      </c>
      <c r="D44" s="5" t="inlineStr">
        <is>
          <t>12:06 PM – 12:06 PM</t>
        </is>
      </c>
      <c r="E44" s="63" t="n">
        <v>0.5</v>
      </c>
      <c r="F44" s="32" t="n">
        <v>1</v>
      </c>
      <c r="G44" s="66" t="inlineStr">
        <is>
          <t>Development</t>
        </is>
      </c>
      <c r="H44" s="5" t="inlineStr">
        <is>
          <t>PROJECT_ROADMAP.md</t>
        </is>
      </c>
      <c r="I44" s="5" t="n"/>
    </row>
    <row r="45" ht="19.5" customHeight="1" s="15">
      <c r="B45" s="7" t="inlineStr">
        <is>
          <t>2026-04-23</t>
        </is>
      </c>
      <c r="C45" s="7" t="inlineStr">
        <is>
          <t>Thursday</t>
        </is>
      </c>
      <c r="D45" s="7" t="inlineStr">
        <is>
          <t>12:06 PM – 12:06 PM</t>
        </is>
      </c>
      <c r="E45" s="65" t="n">
        <v>0.5</v>
      </c>
      <c r="F45" s="35" t="n">
        <v>1</v>
      </c>
      <c r="G45" s="68" t="inlineStr">
        <is>
          <t>Other</t>
        </is>
      </c>
      <c r="H45" s="7" t="inlineStr">
        <is>
          <t>PROJECT_ROADMAP.md</t>
        </is>
      </c>
      <c r="I45" s="7" t="n"/>
    </row>
    <row r="46" ht="19.5" customHeight="1" s="15">
      <c r="B46" s="5" t="inlineStr">
        <is>
          <t>2026-04-23</t>
        </is>
      </c>
      <c r="C46" s="5" t="inlineStr">
        <is>
          <t>Thursday</t>
        </is>
      </c>
      <c r="D46" s="5" t="inlineStr">
        <is>
          <t>12:11 PM – 12:51 PM</t>
        </is>
      </c>
      <c r="E46" s="63" t="n">
        <v>0.92</v>
      </c>
      <c r="F46" s="32" t="n">
        <v>60</v>
      </c>
      <c r="G46" s="64" t="inlineStr">
        <is>
          <t>Milestone Planning</t>
        </is>
      </c>
      <c r="H46" s="5" t="inlineStr">
        <is>
          <t>SYNC_REPORT_MVP_ARCHIVE.md · SYNC_REPORT_MVP_ARCHIVE.md · Milestone_M10_AI_Product_Tester.md</t>
        </is>
      </c>
      <c r="I46" s="5" t="n"/>
    </row>
    <row r="47" ht="19.5" customHeight="1" s="15">
      <c r="B47" s="7" t="inlineStr">
        <is>
          <t>2026-04-23</t>
        </is>
      </c>
      <c r="C47" s="7" t="inlineStr">
        <is>
          <t>Thursday</t>
        </is>
      </c>
      <c r="D47" s="7" t="inlineStr">
        <is>
          <t>2:54 PM – 2:54 PM</t>
        </is>
      </c>
      <c r="E47" s="65" t="n">
        <v>0.5</v>
      </c>
      <c r="F47" s="35" t="n">
        <v>53</v>
      </c>
      <c r="G47" s="67" t="inlineStr">
        <is>
          <t>Design &amp; Specifications</t>
        </is>
      </c>
      <c r="H47" s="7" t="inlineStr">
        <is>
          <t>code.html · screen.png · code.html</t>
        </is>
      </c>
      <c r="I47" s="7" t="n"/>
    </row>
    <row r="48" ht="19.5" customHeight="1" s="15">
      <c r="B48" s="5" t="inlineStr">
        <is>
          <t>2026-04-23</t>
        </is>
      </c>
      <c r="C48" s="5" t="inlineStr">
        <is>
          <t>Thursday</t>
        </is>
      </c>
      <c r="D48" s="5" t="inlineStr">
        <is>
          <t>5:59 PM – 6:18 PM</t>
        </is>
      </c>
      <c r="E48" s="63" t="n">
        <v>0.57</v>
      </c>
      <c r="F48" s="32" t="n">
        <v>29</v>
      </c>
      <c r="G48" s="67" t="inlineStr">
        <is>
          <t>Design &amp; Specifications</t>
        </is>
      </c>
      <c r="H48" s="5" t="inlineStr">
        <is>
          <t>NAVIGATION_CONTRACT.md · F06_Sign_In.md · F11_Source_Connect_Jira.md</t>
        </is>
      </c>
      <c r="I48" s="5" t="n"/>
    </row>
    <row r="49" ht="19.5" customHeight="1" s="15">
      <c r="B49" s="7" t="inlineStr">
        <is>
          <t>2026-04-23</t>
        </is>
      </c>
      <c r="C49" s="7" t="inlineStr">
        <is>
          <t>Thursday</t>
        </is>
      </c>
      <c r="D49" s="7" t="inlineStr">
        <is>
          <t>8:35 PM – 8:35 PM</t>
        </is>
      </c>
      <c r="E49" s="65" t="n">
        <v>0.5</v>
      </c>
      <c r="F49" s="35" t="n">
        <v>1</v>
      </c>
      <c r="G49" s="67" t="inlineStr">
        <is>
          <t>Design &amp; Specifications</t>
        </is>
      </c>
      <c r="H49" s="7" t="inlineStr">
        <is>
          <t>STITCH_DRIFT_AUDIT.md</t>
        </is>
      </c>
      <c r="I49" s="7" t="n"/>
    </row>
    <row r="50" ht="19.5" customHeight="1" s="15">
      <c r="B50" s="5" t="inlineStr">
        <is>
          <t>2026-04-22</t>
        </is>
      </c>
      <c r="C50" s="5" t="inlineStr">
        <is>
          <t>Wednesday</t>
        </is>
      </c>
      <c r="D50" s="5" t="inlineStr">
        <is>
          <t>10:25 PM – 10:26 PM</t>
        </is>
      </c>
      <c r="E50" s="63" t="n">
        <v>0.5</v>
      </c>
      <c r="F50" s="32" t="n">
        <v>3</v>
      </c>
      <c r="G50" s="64" t="inlineStr">
        <is>
          <t>Milestone Planning</t>
        </is>
      </c>
      <c r="H50" s="5" t="inlineStr">
        <is>
          <t>Milestone_M5_Automation_Basic_Reports_MVP_Launch.md · Milestone_M3_Test_Cases_AI.md · Milestone_M3_Test_Cases_AI.md</t>
        </is>
      </c>
      <c r="I50" s="5" t="n"/>
    </row>
    <row r="51" ht="19.5" customHeight="1" s="15">
      <c r="B51" s="7" t="inlineStr">
        <is>
          <t>2026-04-22</t>
        </is>
      </c>
      <c r="C51" s="7" t="inlineStr">
        <is>
          <t>Wednesday</t>
        </is>
      </c>
      <c r="D51" s="7" t="inlineStr">
        <is>
          <t>10:27 PM – 10:27 PM</t>
        </is>
      </c>
      <c r="E51" s="65" t="n">
        <v>0.5</v>
      </c>
      <c r="F51" s="35" t="n">
        <v>2</v>
      </c>
      <c r="G51" s="67" t="inlineStr">
        <is>
          <t>Design &amp; Specifications</t>
        </is>
      </c>
      <c r="H51" s="7" t="inlineStr">
        <is>
          <t>ERD.drawio · ERD.drawio</t>
        </is>
      </c>
      <c r="I51" s="7" t="n"/>
    </row>
    <row r="52" ht="19.5" customHeight="1" s="15">
      <c r="B52" s="5" t="inlineStr">
        <is>
          <t>2026-04-22</t>
        </is>
      </c>
      <c r="C52" s="5" t="inlineStr">
        <is>
          <t>Wednesday</t>
        </is>
      </c>
      <c r="D52" s="5" t="inlineStr">
        <is>
          <t>8:16 PM – 8:16 PM</t>
        </is>
      </c>
      <c r="E52" s="63" t="n">
        <v>0.5</v>
      </c>
      <c r="F52" s="32" t="n">
        <v>2</v>
      </c>
      <c r="G52" s="67" t="inlineStr">
        <is>
          <t>Design &amp; Specifications</t>
        </is>
      </c>
      <c r="H52" s="5" t="inlineStr">
        <is>
          <t>generate_prd_docx.py · generate_prd_docx.py</t>
        </is>
      </c>
      <c r="I52" s="5" t="n"/>
    </row>
    <row r="53" ht="19.5" customHeight="1" s="15">
      <c r="B53" s="7" t="inlineStr">
        <is>
          <t>2026-04-21</t>
        </is>
      </c>
      <c r="C53" s="7" t="inlineStr">
        <is>
          <t>Tuesday</t>
        </is>
      </c>
      <c r="D53" s="7" t="inlineStr">
        <is>
          <t>11:06 AM – 11:06 AM</t>
        </is>
      </c>
      <c r="E53" s="65" t="n">
        <v>0.5</v>
      </c>
      <c r="F53" s="35" t="n">
        <v>14</v>
      </c>
      <c r="G53" s="67" t="inlineStr">
        <is>
          <t>Design &amp; Specifications</t>
        </is>
      </c>
      <c r="H53" s="7" t="inlineStr">
        <is>
          <t>goal_target_bar.png · goal_target_bar.png · priority_matrix.png</t>
        </is>
      </c>
      <c r="I53" s="7" t="n"/>
    </row>
    <row r="54" ht="19.5" customHeight="1" s="15">
      <c r="B54" s="5" t="inlineStr">
        <is>
          <t>2026-04-21</t>
        </is>
      </c>
      <c r="C54" s="5" t="inlineStr">
        <is>
          <t>Tuesday</t>
        </is>
      </c>
      <c r="D54" s="5" t="inlineStr">
        <is>
          <t>12:04 AM – 12:27 AM</t>
        </is>
      </c>
      <c r="E54" s="63" t="n">
        <v>0.62</v>
      </c>
      <c r="F54" s="32" t="n">
        <v>14</v>
      </c>
      <c r="G54" s="67" t="inlineStr">
        <is>
          <t>Design &amp; Specifications</t>
        </is>
      </c>
      <c r="H54" s="5" t="inlineStr">
        <is>
          <t>DESIGN.md · UI_PROMPT.md · PRD.drawio</t>
        </is>
      </c>
      <c r="I54" s="5" t="n"/>
    </row>
    <row r="55" ht="19.5" customHeight="1" s="15">
      <c r="B55" s="7" t="inlineStr">
        <is>
          <t>2026-04-21</t>
        </is>
      </c>
      <c r="C55" s="7" t="inlineStr">
        <is>
          <t>Tuesday</t>
        </is>
      </c>
      <c r="D55" s="7" t="inlineStr">
        <is>
          <t>12:35 AM – 1:10 AM</t>
        </is>
      </c>
      <c r="E55" s="65" t="n">
        <v>0.82</v>
      </c>
      <c r="F55" s="35" t="n">
        <v>76</v>
      </c>
      <c r="G55" s="64" t="inlineStr">
        <is>
          <t>Milestone Planning</t>
        </is>
      </c>
      <c r="H55" s="7" t="inlineStr">
        <is>
          <t>gantt.png · gantt.png · risk_heatmap.png</t>
        </is>
      </c>
      <c r="I55" s="7" t="n"/>
    </row>
    <row r="56" ht="19.5" customHeight="1" s="15">
      <c r="B56" s="5" t="inlineStr">
        <is>
          <t>2026-04-20</t>
        </is>
      </c>
      <c r="C56" s="5" t="inlineStr">
        <is>
          <t>Monday</t>
        </is>
      </c>
      <c r="D56" s="5" t="inlineStr">
        <is>
          <t>10:28 PM – 10:28 PM</t>
        </is>
      </c>
      <c r="E56" s="63" t="n">
        <v>0.5</v>
      </c>
      <c r="F56" s="32" t="n">
        <v>1</v>
      </c>
      <c r="G56" s="70" t="inlineStr">
        <is>
          <t>Idea Confirmation</t>
        </is>
      </c>
      <c r="H56" s="5" t="inlineStr">
        <is>
          <t>QA_Nexus_Brainstorm.md</t>
        </is>
      </c>
      <c r="I56" s="5" t="n"/>
    </row>
    <row r="57" ht="19.5" customHeight="1" s="15">
      <c r="B57" s="7" t="inlineStr">
        <is>
          <t>2026-04-20</t>
        </is>
      </c>
      <c r="C57" s="7" t="inlineStr">
        <is>
          <t>Monday</t>
        </is>
      </c>
      <c r="D57" s="7" t="inlineStr">
        <is>
          <t>8:21 PM – 8:21 PM</t>
        </is>
      </c>
      <c r="E57" s="65" t="n">
        <v>0.5</v>
      </c>
      <c r="F57" s="35" t="n">
        <v>1</v>
      </c>
      <c r="G57" s="71" t="inlineStr">
        <is>
          <t>Test Case Management Research</t>
        </is>
      </c>
      <c r="H57" s="7" t="inlineStr">
        <is>
          <t>brainstorm.md</t>
        </is>
      </c>
      <c r="I57" s="7" t="n"/>
    </row>
    <row r="58" ht="19.5" customHeight="1" s="15">
      <c r="B58" s="5" t="inlineStr">
        <is>
          <t>2026-04-20</t>
        </is>
      </c>
      <c r="C58" s="5" t="inlineStr">
        <is>
          <t>Monday</t>
        </is>
      </c>
      <c r="D58" s="5" t="inlineStr">
        <is>
          <t>9:22 PM – 9:22 PM</t>
        </is>
      </c>
      <c r="E58" s="63" t="n">
        <v>0.5</v>
      </c>
      <c r="F58" s="32" t="n">
        <v>1</v>
      </c>
      <c r="G58" s="67" t="inlineStr">
        <is>
          <t>Design &amp; Specifications</t>
        </is>
      </c>
      <c r="H58" s="5" t="inlineStr">
        <is>
          <t>wireframe.html</t>
        </is>
      </c>
      <c r="I58" s="5" t="n"/>
    </row>
    <row r="59" ht="19.5" customHeight="1" s="15">
      <c r="B59" s="7" t="inlineStr">
        <is>
          <t>2026-04-18</t>
        </is>
      </c>
      <c r="C59" s="7" t="inlineStr">
        <is>
          <t>Saturday</t>
        </is>
      </c>
      <c r="D59" s="7" t="inlineStr">
        <is>
          <t>11:47 AM – 12:10 PM</t>
        </is>
      </c>
      <c r="E59" s="65" t="n">
        <v>0.63</v>
      </c>
      <c r="F59" s="35" t="n">
        <v>12</v>
      </c>
      <c r="G59" s="71" t="inlineStr">
        <is>
          <t>Test Case Management Research</t>
        </is>
      </c>
      <c r="H59" s="7" t="inlineStr">
        <is>
          <t>01_Test_Management_and_Optimization.md · 02_Test_Reporting_and_Analytics.md · 03_Automation_Playwright.md</t>
        </is>
      </c>
      <c r="I59" s="7" t="n"/>
    </row>
    <row r="60" ht="19.5" customHeight="1" s="15">
      <c r="B60" s="5" t="inlineStr">
        <is>
          <t>2026-04-18</t>
        </is>
      </c>
      <c r="C60" s="5" t="inlineStr">
        <is>
          <t>Saturday</t>
        </is>
      </c>
      <c r="D60" s="5" t="inlineStr">
        <is>
          <t>7:37 PM – 7:54 PM</t>
        </is>
      </c>
      <c r="E60" s="63" t="n">
        <v>0.53</v>
      </c>
      <c r="F60" s="32" t="n">
        <v>8</v>
      </c>
      <c r="G60" s="71" t="inlineStr">
        <is>
          <t>Test Case Management Research</t>
        </is>
      </c>
      <c r="H60" s="5" t="inlineStr">
        <is>
          <t>COMPETITOR_UI_RESEARCH.md · CONTEXTQA_ANALYSIS.md · DESIGN_INSPIRATION.md</t>
        </is>
      </c>
      <c r="I60" s="5" t="n"/>
    </row>
    <row r="61" ht="19.5" customHeight="1" s="15">
      <c r="B61" s="7" t="inlineStr">
        <is>
          <t>2026-04-18</t>
        </is>
      </c>
      <c r="C61" s="7" t="inlineStr">
        <is>
          <t>Saturday</t>
        </is>
      </c>
      <c r="D61" s="7" t="inlineStr">
        <is>
          <t>9:31 AM – 10:36 AM</t>
        </is>
      </c>
      <c r="E61" s="65" t="n">
        <v>1.33</v>
      </c>
      <c r="F61" s="35" t="n">
        <v>15</v>
      </c>
      <c r="G61" s="66" t="inlineStr">
        <is>
          <t>Test Automation &amp; Reporting</t>
        </is>
      </c>
      <c r="H61" s="7" t="inlineStr">
        <is>
          <t>BrowserStack AI Agents Research &amp; Documentation</t>
        </is>
      </c>
      <c r="I61" s="7" t="n"/>
    </row>
    <row r="62" ht="19.5" customHeight="1" s="15">
      <c r="B62" s="5" t="inlineStr">
        <is>
          <t>2026-04-17</t>
        </is>
      </c>
      <c r="C62" s="5" t="inlineStr">
        <is>
          <t>Friday</t>
        </is>
      </c>
      <c r="D62" s="5" t="inlineStr">
        <is>
          <t>8:22 PM – 11:30 PM</t>
        </is>
      </c>
      <c r="E62" s="63" t="n">
        <v>3.37</v>
      </c>
      <c r="F62" s="32" t="n">
        <v>14</v>
      </c>
      <c r="G62" s="70" t="inlineStr">
        <is>
          <t>Idea Confirmation</t>
        </is>
      </c>
      <c r="H62" s="5" t="inlineStr">
        <is>
          <t>QA_Roles_Documents_Reference_Guide.md · QA_Nexus_Platform_Vision.md · problem-landscape.drawio</t>
        </is>
      </c>
      <c r="I62" s="5" t="n"/>
    </row>
    <row r="63" ht="64" customHeight="1" s="15">
      <c r="B63" s="100" t="n">
        <v>46148</v>
      </c>
      <c r="C63" s="101" t="inlineStr">
        <is>
          <t>Wednesday</t>
        </is>
      </c>
      <c r="D63" s="102" t="inlineStr">
        <is>
          <t>10:00 AM – 4:39 PM</t>
        </is>
      </c>
      <c r="E63" s="103" t="n">
        <v>6.65</v>
      </c>
      <c r="F63" s="101" t="n">
        <v>30</v>
      </c>
      <c r="G63" s="102" t="inlineStr">
        <is>
          <t>Milestone Planning</t>
        </is>
      </c>
      <c r="H63" s="102" t="inlineStr">
        <is>
          <t>Day-11 M2 cascade + xlsx swap + Rule 14</t>
        </is>
      </c>
      <c r="I63" s="102" t="inlineStr">
        <is>
          <t>MAIN session: skill audit PR #50, ctx-discipline #54, compound-learnings backfill #56, professional xlsx swap with 26-row backfill #59, Hard Rule 14 codified #64, EOD MAIN section #65. Cascade through 75min GHA outage 13:30-14:45 IST. 13+ PRs auto-merged across MAIN/BE+1/FE+1.</t>
        </is>
      </c>
      <c r="J63" s="102" t="n"/>
    </row>
    <row r="64" ht="64" customHeight="1" s="15">
      <c r="B64" s="100" t="n">
        <v>46148</v>
      </c>
      <c r="C64" s="101" t="inlineStr">
        <is>
          <t>Wednesday</t>
        </is>
      </c>
      <c r="D64" s="102" t="inlineStr">
        <is>
          <t>11:30 AM – 5:45 PM</t>
        </is>
      </c>
      <c r="E64" s="103" t="n">
        <v>6.25</v>
      </c>
      <c r="F64" s="101" t="n">
        <v>10</v>
      </c>
      <c r="G64" s="102" t="inlineStr">
        <is>
          <t>Development</t>
        </is>
      </c>
      <c r="H64" s="102" t="inlineStr">
        <is>
          <t>M2 TASK 1 F12 KB Upload + AdminShell fix</t>
        </is>
      </c>
      <c r="I64" s="102" t="inlineStr">
        <is>
          <t>FE+1 session: F12 KB Upload Modal Pattern A scaffold (PR #52, merged 12:13 IST), AdminShell wrap fix on F12+F13 (PR #63, post visual-gate catch), Day-11 EOD + compound-learnings + sessions-stream init (PR #55). Idle Thu morning until BE /api/kb/upload-init lands.</t>
        </is>
      </c>
      <c r="J64" s="102" t="n"/>
    </row>
    <row r="65" ht="64" customHeight="1" s="15">
      <c r="B65" s="100" t="n">
        <v>46148</v>
      </c>
      <c r="C65" s="101" t="inlineStr">
        <is>
          <t>Wednesday</t>
        </is>
      </c>
      <c r="D65" s="102" t="inlineStr">
        <is>
          <t>11:30 AM – 3:30 PM</t>
        </is>
      </c>
      <c r="E65" s="103" t="n">
        <v>4</v>
      </c>
      <c r="F65" s="101" t="n">
        <v>25</v>
      </c>
      <c r="G65" s="102" t="inlineStr">
        <is>
          <t>Development</t>
        </is>
      </c>
      <c r="H65" s="102" t="inlineStr">
        <is>
          <t>M2 deploy + chunk-search + RAG pipeline</t>
        </is>
      </c>
      <c r="I65" s="102" t="inlineStr">
        <is>
          <t>BE+1 session: M2 staging deploy artifacts + ADR-011 (PR #51 rebased to 577e975), chunk-search real pgvector flip (PR #53), KB RAG /api/kb/answer + ADR-012 (PR #57). 14 new tests, 325/325 BE suite. Compound-learning: citation marker = chunk header (no drift).</t>
        </is>
      </c>
      <c r="J65" s="102" t="n"/>
    </row>
    <row r="66" ht="64" customHeight="1" s="15">
      <c r="B66" s="100" t="n">
        <v>46149</v>
      </c>
      <c r="C66" s="101" t="inlineStr">
        <is>
          <t>Thursday</t>
        </is>
      </c>
      <c r="D66" s="102" t="inlineStr">
        <is>
          <t>06:50 AM – 5:00 PM</t>
        </is>
      </c>
      <c r="E66" s="103" t="n">
        <v>10.2</v>
      </c>
      <c r="F66" s="101" t="n">
        <v>18</v>
      </c>
      <c r="G66" s="102" t="inlineStr">
        <is>
          <t>Milestone Planning</t>
        </is>
      </c>
      <c r="H66" s="102" t="inlineStr">
        <is>
          <t>Day-12 / M2 Close Ceremony — 2-day vs 4-day plan</t>
        </is>
      </c>
      <c r="I66" s="102" t="inlineStr">
        <is>
          <t>M2 closed 2 days ahead of plan (2x cadence). 16 PRs merged today across MAIN orchestration: morning Hard Rule 14 retrofit audit (#68), sessions-stream correlation hook (#76), Day-11 backfill (#67); afternoon BE/FE M2 cascade: prettier-write fix (#79) unblocking #77 #78; #78 BE M2 KB doc-create endpoint closes (al) blocker; #69 AdminShell v2 + #71 F13 flip + #80 F12 flip + #72 F15 flip merged in 16-min burst at 15:36-15:52 IST once visual-gate flags dropped; ceremony at 16:00-16:38 IST: close-gate sweep 69/69 ✅, audit chain env-skip documented, close report drafted (#81), tag m2-closed-2026-05-07 pushed at commit 498f206, EOD report drafted (#82). Carry-overs: (am) Rule 14 retrofit on F08+F09, (ae) embedding-spec direction call, Render staging Yogesh action, (ap) playwright cold-install cache.</t>
        </is>
      </c>
      <c r="J66" s="102" t="n"/>
    </row>
    <row r="67" ht="64" customHeight="1" s="15">
      <c r="B67" s="100" t="n">
        <v>46155</v>
      </c>
      <c r="C67" s="101" t="inlineStr">
        <is>
          <t>Wednesday</t>
        </is>
      </c>
      <c r="D67" s="102" t="inlineStr">
        <is>
          <t>10:00 AM – 10:30 PM</t>
        </is>
      </c>
      <c r="E67" s="103" t="n">
        <v>12.5</v>
      </c>
      <c r="F67" s="101" t="n">
        <v>28</v>
      </c>
      <c r="G67" s="102" t="inlineStr">
        <is>
          <t>Development</t>
        </is>
      </c>
      <c r="H67" s="102" t="inlineStr">
        <is>
          <t>Day-17 M3 close ceremony + 4-PR auth saga + M3 close PR</t>
        </is>
      </c>
      <c r="I67" s="102" t="inlineStr">
        <is>
          <t>M3 OFFICIALLY CLOSED at 22:55 IST. 13 PRs merged today (#129 #130 #131 #132 #133 #134 #137 #138 #139 #135 #136 #141 #142). 9-PR BetterAuth fix chain finally complete (Day-15 5-PR + Day-17 4-PR saga: #137 Gmail prefetch intermediate confirm page, #138 zod scoped override for @better-auth/core + 4-layer proof, #139 drop /auth/ prefix in sendMagicLink URL, plus BetterAuth &gt;=1.6.11 hardcoded single-use atomic consumption discovery). Magic-link end-to-end confirmed green by Yogesh through Gmail at 21:00 IST. F19 Run Console + AdminShell canonical realignment landed. CLAUDE.md amended with Hard Rule 14 (AdminShell F19-canonical) + Hard Rule 16 NEW (canonical-first port workflow 8 steps). 12 close-ceremony artifacts shipped in PR #141 + PR #142 (M2+M3 retro). Tag m3-closed-2026-05-13 anchored at SHA a98797b (#139 — auth-chain-complete commit). 52 PRs across M3 sprint (6 calendar days / ~3.6 working days).</t>
        </is>
      </c>
      <c r="J67" s="102" t="n"/>
    </row>
    <row r="68">
      <c r="B68" s="37" t="inlineStr">
        <is>
          <t>GRAND TOTAL</t>
        </is>
      </c>
      <c r="C68" s="54" t="n"/>
      <c r="D68" s="54" t="n"/>
      <c r="E68" s="72">
        <f>SUM(E6:E67)</f>
        <v/>
      </c>
      <c r="F68" s="14">
        <f>SUM(F6:F67)</f>
        <v/>
      </c>
      <c r="G68" s="54" t="n"/>
      <c r="H68" s="54" t="n"/>
      <c r="I68" s="54" t="n"/>
    </row>
  </sheetData>
  <mergeCells count="2">
    <mergeCell ref="B3:I3"/>
    <mergeCell ref="B2:I2"/>
  </mergeCells>
  <conditionalFormatting sqref="E6:E62">
    <cfRule type="dataBar" priority="2">
      <dataBar>
        <cfvo type="min"/>
        <cfvo type="max"/>
        <color rgb="FF4A90D9"/>
      </dataBar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14"/>
  <sheetViews>
    <sheetView showGridLines="0" topLeftCell="A11" workbookViewId="0">
      <selection activeCell="A1" sqref="A1"/>
    </sheetView>
  </sheetViews>
  <sheetFormatPr baseColWidth="8" defaultColWidth="8.6796875" defaultRowHeight="16.8"/>
  <cols>
    <col width="3" customWidth="1" style="15" min="1" max="1"/>
    <col width="8" customWidth="1" style="15" min="2" max="2"/>
    <col width="32" customWidth="1" style="15" min="3" max="3"/>
    <col width="12" customWidth="1" style="15" min="4" max="5"/>
    <col width="14" customWidth="1" style="15" min="6" max="6"/>
    <col width="16" customWidth="1" style="15" min="7" max="7"/>
    <col width="14" customWidth="1" style="15" min="8" max="9"/>
    <col width="29.9375" customWidth="1" style="15" min="11" max="11"/>
    <col width="6.5" customWidth="1" style="15" min="12" max="12"/>
  </cols>
  <sheetData>
    <row r="2" ht="31.5" customHeight="1" s="15">
      <c r="B2" s="1" t="inlineStr">
        <is>
          <t>Phase Comparison — Hours, Sessions &amp; Days</t>
        </is>
      </c>
    </row>
    <row r="3" ht="15" customHeight="1" s="15">
      <c r="B3" s="17" t="inlineStr">
        <is>
          <t>Formula-backed phase summary · Sorted by Total Hours descending</t>
        </is>
      </c>
    </row>
    <row r="5" ht="24" customHeight="1" s="15">
      <c r="B5" s="3" t="inlineStr">
        <is>
          <t>Rank</t>
        </is>
      </c>
      <c r="C5" s="3" t="inlineStr">
        <is>
          <t>Phase</t>
        </is>
      </c>
      <c r="D5" s="4" t="inlineStr">
        <is>
          <t>Sessions</t>
        </is>
      </c>
      <c r="E5" s="4" t="inlineStr">
        <is>
          <t>Active Days</t>
        </is>
      </c>
      <c r="F5" s="4" t="inlineStr">
        <is>
          <t>Total Hours</t>
        </is>
      </c>
      <c r="G5" s="4" t="inlineStr">
        <is>
          <t>Avg Hrs/Session</t>
        </is>
      </c>
      <c r="H5" s="4" t="inlineStr">
        <is>
          <t>Avg Hrs/Day</t>
        </is>
      </c>
      <c r="I5" s="4" t="inlineStr">
        <is>
          <t>% of Project</t>
        </is>
      </c>
      <c r="K5" s="61" t="inlineStr">
        <is>
          <t>Phase</t>
        </is>
      </c>
      <c r="L5" s="61" t="inlineStr">
        <is>
          <t>Hours</t>
        </is>
      </c>
    </row>
    <row r="6" ht="21.75" customHeight="1" s="15">
      <c r="B6" s="32" t="n">
        <v>1</v>
      </c>
      <c r="C6" s="31" t="inlineStr">
        <is>
          <t>Design &amp; Specifications</t>
        </is>
      </c>
      <c r="D6" s="32" t="n">
        <v>22</v>
      </c>
      <c r="E6" s="32" t="n">
        <v>8</v>
      </c>
      <c r="F6" s="33" t="n">
        <v>17.89</v>
      </c>
      <c r="G6" s="33">
        <f>IFERROR(F6/D6,0)</f>
        <v/>
      </c>
      <c r="H6" s="33">
        <f>IFERROR(F6/E6,0)</f>
        <v/>
      </c>
      <c r="I6" s="45">
        <f>IFERROR(F6/$F$14,0)</f>
        <v/>
      </c>
      <c r="K6" t="inlineStr">
        <is>
          <t>Design &amp; Specifications</t>
        </is>
      </c>
      <c r="L6" t="n">
        <v>17.89</v>
      </c>
    </row>
    <row r="7" ht="21.75" customHeight="1" s="15">
      <c r="B7" s="32" t="n">
        <v>2</v>
      </c>
      <c r="C7" s="31" t="inlineStr">
        <is>
          <t>Milestone Planning</t>
        </is>
      </c>
      <c r="D7" s="35" t="n">
        <v>14</v>
      </c>
      <c r="E7" s="35" t="n">
        <v>9</v>
      </c>
      <c r="F7" s="36" t="n">
        <v>16.74</v>
      </c>
      <c r="G7" s="36">
        <f>IFERROR(F7/D7,0)</f>
        <v/>
      </c>
      <c r="H7" s="36">
        <f>IFERROR(F7/E7,0)</f>
        <v/>
      </c>
      <c r="I7" s="46">
        <f>IFERROR(F7/$F$14,0)</f>
        <v/>
      </c>
      <c r="K7" t="inlineStr">
        <is>
          <t>Milestone Planning</t>
        </is>
      </c>
      <c r="L7" t="n">
        <v>16.74</v>
      </c>
    </row>
    <row r="8" ht="21.75" customHeight="1" s="15">
      <c r="B8" s="32" t="n">
        <v>3</v>
      </c>
      <c r="C8" s="31" t="inlineStr">
        <is>
          <t>Development</t>
        </is>
      </c>
      <c r="D8" s="32" t="n">
        <v>9</v>
      </c>
      <c r="E8" s="32" t="n">
        <v>4</v>
      </c>
      <c r="F8" s="33" t="n">
        <v>13.84</v>
      </c>
      <c r="G8" s="33">
        <f>IFERROR(F8/D8,0)</f>
        <v/>
      </c>
      <c r="H8" s="33">
        <f>IFERROR(F8/E8,0)</f>
        <v/>
      </c>
      <c r="I8" s="45">
        <f>IFERROR(F8/$F$14,0)</f>
        <v/>
      </c>
      <c r="K8" t="inlineStr">
        <is>
          <t>Development</t>
        </is>
      </c>
      <c r="L8" t="n">
        <v>13.84</v>
      </c>
    </row>
    <row r="9" ht="21.75" customHeight="1" s="15">
      <c r="B9" s="32" t="n">
        <v>4</v>
      </c>
      <c r="C9" s="31" t="inlineStr">
        <is>
          <t>Idea Confirmation</t>
        </is>
      </c>
      <c r="D9" s="35" t="n">
        <v>2</v>
      </c>
      <c r="E9" s="35" t="n">
        <v>2</v>
      </c>
      <c r="F9" s="36" t="n">
        <v>3.87</v>
      </c>
      <c r="G9" s="36">
        <f>IFERROR(F9/D9,0)</f>
        <v/>
      </c>
      <c r="H9" s="36">
        <f>IFERROR(F9/E9,0)</f>
        <v/>
      </c>
      <c r="I9" s="46">
        <f>IFERROR(F9/$F$14,0)</f>
        <v/>
      </c>
      <c r="K9" t="inlineStr">
        <is>
          <t>Idea Confirmation</t>
        </is>
      </c>
      <c r="L9" t="n">
        <v>3.87</v>
      </c>
    </row>
    <row r="10" ht="21.75" customHeight="1" s="15">
      <c r="B10" s="32" t="n">
        <v>5</v>
      </c>
      <c r="C10" s="31" t="inlineStr">
        <is>
          <t>Other</t>
        </is>
      </c>
      <c r="D10" s="32" t="n">
        <v>4</v>
      </c>
      <c r="E10" s="32" t="n">
        <v>3</v>
      </c>
      <c r="F10" s="33" t="n">
        <v>2.65</v>
      </c>
      <c r="G10" s="33">
        <f>IFERROR(F10/D10,0)</f>
        <v/>
      </c>
      <c r="H10" s="33">
        <f>IFERROR(F10/E10,0)</f>
        <v/>
      </c>
      <c r="I10" s="45">
        <f>IFERROR(F10/$F$14,0)</f>
        <v/>
      </c>
      <c r="K10" t="inlineStr">
        <is>
          <t>Other</t>
        </is>
      </c>
      <c r="L10" t="n">
        <v>2.65</v>
      </c>
    </row>
    <row r="11" ht="21.75" customHeight="1" s="15">
      <c r="B11" s="32" t="n">
        <v>6</v>
      </c>
      <c r="C11" s="31" t="inlineStr">
        <is>
          <t>Test Automation &amp; Reporting</t>
        </is>
      </c>
      <c r="D11" s="35" t="n">
        <v>2</v>
      </c>
      <c r="E11" s="35" t="n">
        <v>2</v>
      </c>
      <c r="F11" s="36" t="n">
        <v>2.01</v>
      </c>
      <c r="G11" s="36">
        <f>IFERROR(F11/D11,0)</f>
        <v/>
      </c>
      <c r="H11" s="36">
        <f>IFERROR(F11/E11,0)</f>
        <v/>
      </c>
      <c r="I11" s="46">
        <f>IFERROR(F11/$F$14,0)</f>
        <v/>
      </c>
      <c r="K11" t="inlineStr">
        <is>
          <t>Test Automation &amp; Reporting</t>
        </is>
      </c>
      <c r="L11" t="n">
        <v>2.01</v>
      </c>
    </row>
    <row r="12" ht="21.75" customHeight="1" s="15">
      <c r="B12" s="32" t="n">
        <v>7</v>
      </c>
      <c r="C12" s="31" t="inlineStr">
        <is>
          <t>Test Case Management Research</t>
        </is>
      </c>
      <c r="D12" s="32" t="n">
        <v>3</v>
      </c>
      <c r="E12" s="32" t="n">
        <v>2</v>
      </c>
      <c r="F12" s="33" t="n">
        <v>1.66</v>
      </c>
      <c r="G12" s="33">
        <f>IFERROR(F12/D12,0)</f>
        <v/>
      </c>
      <c r="H12" s="33">
        <f>IFERROR(F12/E12,0)</f>
        <v/>
      </c>
      <c r="I12" s="45">
        <f>IFERROR(F12/$F$14,0)</f>
        <v/>
      </c>
      <c r="K12" t="inlineStr">
        <is>
          <t>Test Case Management Research</t>
        </is>
      </c>
      <c r="L12" t="n">
        <v>1.66</v>
      </c>
    </row>
    <row r="13" ht="21.75" customHeight="1" s="15">
      <c r="B13" s="32" t="n">
        <v>8</v>
      </c>
      <c r="C13" s="31" t="inlineStr">
        <is>
          <t>Launch Creative</t>
        </is>
      </c>
      <c r="D13" s="35" t="n">
        <v>1</v>
      </c>
      <c r="E13" s="35" t="n">
        <v>1</v>
      </c>
      <c r="F13" s="36" t="n">
        <v>1.23</v>
      </c>
      <c r="G13" s="36">
        <f>IFERROR(F13/D13,0)</f>
        <v/>
      </c>
      <c r="H13" s="36">
        <f>IFERROR(F13/E13,0)</f>
        <v/>
      </c>
      <c r="I13" s="46">
        <f>IFERROR(F13/$F$14,0)</f>
        <v/>
      </c>
      <c r="K13" t="inlineStr">
        <is>
          <t>Launch Creative</t>
        </is>
      </c>
      <c r="L13" t="n">
        <v>1.23</v>
      </c>
    </row>
    <row r="14" ht="24" customHeight="1" s="15">
      <c r="B14" s="54" t="n"/>
      <c r="C14" s="37" t="inlineStr">
        <is>
          <t>TOTAL</t>
        </is>
      </c>
      <c r="D14" s="14">
        <f>SUM(D6:D13)</f>
        <v/>
      </c>
      <c r="E14" s="62" t="n"/>
      <c r="F14" s="13">
        <f>SUM(F6:F13)</f>
        <v/>
      </c>
      <c r="G14" s="54" t="n"/>
      <c r="H14" s="54" t="n"/>
      <c r="I14" s="47">
        <f>SUM(I6:I13)</f>
        <v/>
      </c>
    </row>
  </sheetData>
  <mergeCells count="2">
    <mergeCell ref="B3:I3"/>
    <mergeCell ref="B2:I2"/>
  </mergeCells>
  <conditionalFormatting sqref="F6:F13">
    <cfRule type="dataBar" priority="2">
      <dataBar>
        <cfvo type="min"/>
        <cfvo type="max"/>
        <color rgb="FF4A90D9"/>
      </dataBar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18"/>
  <sheetViews>
    <sheetView showGridLines="0" topLeftCell="A13" workbookViewId="0">
      <selection activeCell="A1" sqref="A1"/>
    </sheetView>
  </sheetViews>
  <sheetFormatPr baseColWidth="8" defaultColWidth="8.6796875" defaultRowHeight="16.8"/>
  <cols>
    <col width="3" customWidth="1" style="15" min="1" max="1"/>
    <col width="14" customWidth="1" style="15" min="2" max="2"/>
    <col width="12" customWidth="1" style="15" min="3" max="5"/>
    <col width="55" customWidth="1" style="15" min="6" max="6"/>
  </cols>
  <sheetData>
    <row r="2" ht="31.5" customHeight="1" s="15">
      <c r="B2" s="1" t="inlineStr">
        <is>
          <t>Daily Rollup — Hours per Day (Latest First)</t>
        </is>
      </c>
    </row>
    <row r="3" ht="15" customHeight="1" s="15">
      <c r="B3" s="17" t="inlineStr">
        <is>
          <t>Per-day totals sorted descending by date · Formula-backed from session evidence</t>
        </is>
      </c>
    </row>
    <row r="5" ht="24" customHeight="1" s="15">
      <c r="B5" s="3" t="inlineStr">
        <is>
          <t>Date</t>
        </is>
      </c>
      <c r="C5" s="3" t="inlineStr">
        <is>
          <t>Day</t>
        </is>
      </c>
      <c r="D5" s="4" t="inlineStr">
        <is>
          <t>Total Hours</t>
        </is>
      </c>
      <c r="E5" s="4" t="inlineStr">
        <is>
          <t>Sessions</t>
        </is>
      </c>
      <c r="F5" s="3" t="inlineStr">
        <is>
          <t>Phases Touched</t>
        </is>
      </c>
      <c r="H5" s="61" t="inlineStr">
        <is>
          <t>Date</t>
        </is>
      </c>
      <c r="I5" s="61" t="inlineStr">
        <is>
          <t>Hours</t>
        </is>
      </c>
    </row>
    <row r="6" ht="21.75" customHeight="1" s="15">
      <c r="B6" s="5" t="inlineStr">
        <is>
          <t>2026-05-05</t>
        </is>
      </c>
      <c r="C6" s="5" t="inlineStr">
        <is>
          <t>Tuesday</t>
        </is>
      </c>
      <c r="D6" s="11" t="n">
        <v>3</v>
      </c>
      <c r="E6" s="6" t="n">
        <v>1</v>
      </c>
      <c r="F6" s="5" t="inlineStr">
        <is>
          <t>Milestone Planning</t>
        </is>
      </c>
      <c r="H6" t="inlineStr">
        <is>
          <t>2026-04-17</t>
        </is>
      </c>
      <c r="I6" t="n">
        <v>3.37</v>
      </c>
    </row>
    <row r="7" ht="21.75" customHeight="1" s="15">
      <c r="B7" s="7" t="inlineStr">
        <is>
          <t>2026-05-03</t>
        </is>
      </c>
      <c r="C7" s="7" t="n"/>
      <c r="D7" s="12" t="n">
        <v>7</v>
      </c>
      <c r="E7" s="8" t="n">
        <v>1</v>
      </c>
      <c r="F7" s="7" t="inlineStr">
        <is>
          <t>Milestone Planning</t>
        </is>
      </c>
      <c r="H7" t="inlineStr">
        <is>
          <t>2026-04-18</t>
        </is>
      </c>
      <c r="I7" t="n">
        <v>2.49</v>
      </c>
    </row>
    <row r="8" ht="21.75" customHeight="1" s="15">
      <c r="B8" s="5" t="inlineStr">
        <is>
          <t>2026-04-27</t>
        </is>
      </c>
      <c r="C8" s="5" t="inlineStr">
        <is>
          <t>Monday</t>
        </is>
      </c>
      <c r="D8" s="11" t="n">
        <v>10.04</v>
      </c>
      <c r="E8" s="6" t="n">
        <v>8</v>
      </c>
      <c r="F8" s="5" t="inlineStr">
        <is>
          <t>Design &amp; Specifications · Development · Milestone Planning · Other · Test Automation &amp; Reporting</t>
        </is>
      </c>
      <c r="H8" t="inlineStr">
        <is>
          <t>2026-04-20</t>
        </is>
      </c>
      <c r="I8" t="n">
        <v>1.5</v>
      </c>
    </row>
    <row r="9" ht="21.75" customHeight="1" s="15">
      <c r="B9" s="7" t="inlineStr">
        <is>
          <t>2026-04-26</t>
        </is>
      </c>
      <c r="C9" s="7" t="inlineStr">
        <is>
          <t>Sunday</t>
        </is>
      </c>
      <c r="D9" s="12" t="n">
        <v>9.359999999999999</v>
      </c>
      <c r="E9" s="8" t="n">
        <v>9</v>
      </c>
      <c r="F9" s="7" t="inlineStr">
        <is>
          <t>Design &amp; Specifications · Development · Launch Creative · Milestone Planning</t>
        </is>
      </c>
      <c r="H9" t="inlineStr">
        <is>
          <t>2026-04-21</t>
        </is>
      </c>
      <c r="I9" t="n">
        <v>1.94</v>
      </c>
    </row>
    <row r="10" ht="21.75" customHeight="1" s="15">
      <c r="B10" s="5" t="inlineStr">
        <is>
          <t>2026-04-25</t>
        </is>
      </c>
      <c r="C10" s="5" t="inlineStr">
        <is>
          <t>Saturday</t>
        </is>
      </c>
      <c r="D10" s="11" t="n">
        <v>6.89</v>
      </c>
      <c r="E10" s="6" t="n">
        <v>6</v>
      </c>
      <c r="F10" s="5" t="inlineStr">
        <is>
          <t>Design &amp; Specifications · Milestone Planning</t>
        </is>
      </c>
      <c r="H10" t="inlineStr">
        <is>
          <t>2026-04-22</t>
        </is>
      </c>
      <c r="I10" t="n">
        <v>1.5</v>
      </c>
    </row>
    <row r="11" ht="21.75" customHeight="1" s="15">
      <c r="B11" s="7" t="inlineStr">
        <is>
          <t>2026-04-24</t>
        </is>
      </c>
      <c r="C11" s="7" t="inlineStr">
        <is>
          <t>Friday</t>
        </is>
      </c>
      <c r="D11" s="12" t="n">
        <v>5.99</v>
      </c>
      <c r="E11" s="8" t="n">
        <v>9</v>
      </c>
      <c r="F11" s="7" t="inlineStr">
        <is>
          <t>Design &amp; Specifications · Development · Milestone Planning · Other</t>
        </is>
      </c>
      <c r="H11" t="inlineStr">
        <is>
          <t>2026-04-23</t>
        </is>
      </c>
      <c r="I11" t="n">
        <v>6.81</v>
      </c>
    </row>
    <row r="12" ht="21.75" customHeight="1" s="15">
      <c r="B12" s="5" t="inlineStr">
        <is>
          <t>2026-04-23</t>
        </is>
      </c>
      <c r="C12" s="5" t="inlineStr">
        <is>
          <t>Thursday</t>
        </is>
      </c>
      <c r="D12" s="11" t="n">
        <v>6.81</v>
      </c>
      <c r="E12" s="6" t="n">
        <v>10</v>
      </c>
      <c r="F12" s="5" t="inlineStr">
        <is>
          <t>Design &amp; Specifications · Development · Milestone Planning · Other</t>
        </is>
      </c>
      <c r="H12" t="inlineStr">
        <is>
          <t>2026-04-24</t>
        </is>
      </c>
      <c r="I12" t="n">
        <v>5.99</v>
      </c>
    </row>
    <row r="13" ht="21.75" customHeight="1" s="15">
      <c r="B13" s="7" t="inlineStr">
        <is>
          <t>2026-04-22</t>
        </is>
      </c>
      <c r="C13" s="7" t="inlineStr">
        <is>
          <t>Wednesday</t>
        </is>
      </c>
      <c r="D13" s="12" t="n">
        <v>1.5</v>
      </c>
      <c r="E13" s="8" t="n">
        <v>3</v>
      </c>
      <c r="F13" s="7" t="inlineStr">
        <is>
          <t>Design &amp; Specifications · Milestone Planning</t>
        </is>
      </c>
      <c r="H13" t="inlineStr">
        <is>
          <t>2026-04-25</t>
        </is>
      </c>
      <c r="I13" t="n">
        <v>6.89</v>
      </c>
    </row>
    <row r="14" ht="21.75" customHeight="1" s="15">
      <c r="B14" s="5" t="inlineStr">
        <is>
          <t>2026-04-21</t>
        </is>
      </c>
      <c r="C14" s="5" t="inlineStr">
        <is>
          <t>Tuesday</t>
        </is>
      </c>
      <c r="D14" s="11" t="n">
        <v>1.94</v>
      </c>
      <c r="E14" s="6" t="n">
        <v>3</v>
      </c>
      <c r="F14" s="5" t="inlineStr">
        <is>
          <t>Design &amp; Specifications · Milestone Planning</t>
        </is>
      </c>
      <c r="H14" t="inlineStr">
        <is>
          <t>2026-04-26</t>
        </is>
      </c>
      <c r="I14" t="n">
        <v>9.359999999999999</v>
      </c>
    </row>
    <row r="15" ht="21.75" customHeight="1" s="15">
      <c r="B15" s="7" t="inlineStr">
        <is>
          <t>2026-04-20</t>
        </is>
      </c>
      <c r="C15" s="7" t="inlineStr">
        <is>
          <t>Monday</t>
        </is>
      </c>
      <c r="D15" s="12" t="n">
        <v>1.5</v>
      </c>
      <c r="E15" s="8" t="n">
        <v>3</v>
      </c>
      <c r="F15" s="7" t="inlineStr">
        <is>
          <t>Design &amp; Specifications · Idea Confirmation · Test Case Management Research</t>
        </is>
      </c>
      <c r="H15" t="inlineStr">
        <is>
          <t>2026-04-27</t>
        </is>
      </c>
      <c r="I15" t="n">
        <v>10.04</v>
      </c>
    </row>
    <row r="16" ht="21.75" customHeight="1" s="15">
      <c r="B16" s="5" t="inlineStr">
        <is>
          <t>2026-04-18</t>
        </is>
      </c>
      <c r="C16" s="5" t="inlineStr">
        <is>
          <t>Saturday</t>
        </is>
      </c>
      <c r="D16" s="11" t="n">
        <v>2.49</v>
      </c>
      <c r="E16" s="6" t="n">
        <v>3</v>
      </c>
      <c r="F16" s="5" t="inlineStr">
        <is>
          <t>Test Automation &amp; Reporting · Test Case Management Research</t>
        </is>
      </c>
      <c r="H16" t="inlineStr">
        <is>
          <t>2026-05-03</t>
        </is>
      </c>
      <c r="I16" t="n">
        <v>7</v>
      </c>
    </row>
    <row r="17" ht="21.75" customHeight="1" s="15">
      <c r="B17" s="7" t="inlineStr">
        <is>
          <t>2026-04-17</t>
        </is>
      </c>
      <c r="C17" s="7" t="inlineStr">
        <is>
          <t>Friday</t>
        </is>
      </c>
      <c r="D17" s="12" t="n">
        <v>3.37</v>
      </c>
      <c r="E17" s="8" t="n">
        <v>1</v>
      </c>
      <c r="F17" s="7" t="inlineStr">
        <is>
          <t>Idea Confirmation</t>
        </is>
      </c>
      <c r="H17" t="inlineStr">
        <is>
          <t>2026-05-05</t>
        </is>
      </c>
      <c r="I17" t="n">
        <v>3</v>
      </c>
    </row>
    <row r="18" ht="24" customHeight="1" s="15">
      <c r="B18" s="37" t="inlineStr">
        <is>
          <t>TOTAL</t>
        </is>
      </c>
      <c r="C18" s="54" t="n"/>
      <c r="D18" s="13">
        <f>SUM(D6:D17)</f>
        <v/>
      </c>
      <c r="E18" s="14">
        <f>SUM(E6:E17)</f>
        <v/>
      </c>
      <c r="F18" s="54" t="n"/>
    </row>
  </sheetData>
  <mergeCells count="2">
    <mergeCell ref="B2:F2"/>
    <mergeCell ref="B3:F3"/>
  </mergeCells>
  <conditionalFormatting sqref="D6:D17">
    <cfRule type="dataBar" priority="2">
      <dataBar>
        <cfvo type="min"/>
        <cfvo type="max"/>
        <color rgb="FF4A90D9"/>
      </dataBar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Q37"/>
  <sheetViews>
    <sheetView showGridLines="0" workbookViewId="0">
      <selection activeCell="A1" sqref="A1"/>
    </sheetView>
  </sheetViews>
  <sheetFormatPr baseColWidth="8" defaultColWidth="8.6796875" defaultRowHeight="16.8"/>
  <cols>
    <col width="3" customWidth="1" style="15" min="1" max="1"/>
    <col width="12" customWidth="1" style="15" min="2" max="2"/>
    <col width="8" customWidth="1" style="15" min="3" max="3"/>
    <col width="10" customWidth="1" style="15" min="4" max="6"/>
    <col width="14" customWidth="1" style="15" min="7" max="7"/>
    <col width="12" customWidth="1" style="15" min="8" max="8"/>
    <col width="16" customWidth="1" style="15" min="9" max="12"/>
    <col width="12" customWidth="1" style="15" min="13" max="14"/>
    <col width="22" customWidth="1" style="15" min="15" max="15"/>
    <col width="10" customWidth="1" style="15" min="16" max="16"/>
    <col width="14" customWidth="1" style="15" min="17" max="17"/>
  </cols>
  <sheetData>
    <row r="2" ht="31.5" customHeight="1" s="15">
      <c r="B2" s="1" t="inlineStr">
        <is>
          <t>Token Sessions — Per-Session Telemetry (Latest First)</t>
        </is>
      </c>
    </row>
    <row r="3" ht="15" customHeight="1" s="15">
      <c r="B3" s="17" t="inlineStr">
        <is>
          <t>Memory-injection and context-preload token savings tracking · Sorted descending by date</t>
        </is>
      </c>
    </row>
    <row r="5" ht="24" customHeight="1" s="15">
      <c r="B5" s="42" t="inlineStr">
        <is>
          <t>Date</t>
        </is>
      </c>
      <c r="C5" s="42" t="inlineStr">
        <is>
          <t>Day-N</t>
        </is>
      </c>
      <c r="D5" s="42" t="inlineStr">
        <is>
          <t>Worktree</t>
        </is>
      </c>
      <c r="E5" s="42" t="inlineStr">
        <is>
          <t>Started</t>
        </is>
      </c>
      <c r="F5" s="42" t="inlineStr">
        <is>
          <t>Ended</t>
        </is>
      </c>
      <c r="G5" s="42" t="inlineStr">
        <is>
          <t>Duration (min)</t>
        </is>
      </c>
      <c r="H5" s="42" t="inlineStr">
        <is>
          <t>Tool Calls</t>
        </is>
      </c>
      <c r="I5" s="42" t="inlineStr">
        <is>
          <t>Tokens In</t>
        </is>
      </c>
      <c r="J5" s="42" t="inlineStr">
        <is>
          <t>Tokens Out</t>
        </is>
      </c>
      <c r="K5" s="42" t="inlineStr">
        <is>
          <t>Cache Read</t>
        </is>
      </c>
      <c r="L5" s="42" t="inlineStr">
        <is>
          <t>Tokens Saved</t>
        </is>
      </c>
      <c r="M5" s="42" t="inlineStr">
        <is>
          <t>Cost USD</t>
        </is>
      </c>
      <c r="N5" s="42" t="inlineStr">
        <is>
          <t>In:Out Ratio</t>
        </is>
      </c>
      <c r="O5" s="42" t="inlineStr">
        <is>
          <t>Branch</t>
        </is>
      </c>
      <c r="P5" s="42" t="inlineStr">
        <is>
          <t>Commits</t>
        </is>
      </c>
      <c r="Q5" s="42" t="inlineStr">
        <is>
          <t>Source</t>
        </is>
      </c>
    </row>
    <row r="6" ht="19.5" customHeight="1" s="15">
      <c r="B6" s="6" t="inlineStr">
        <is>
          <t>2026-05-05</t>
        </is>
      </c>
      <c r="C6" s="6" t="n">
        <v>9</v>
      </c>
      <c r="D6" s="6" t="inlineStr">
        <is>
          <t>MAIN</t>
        </is>
      </c>
      <c r="E6" s="6" t="inlineStr">
        <is>
          <t>04:54</t>
        </is>
      </c>
      <c r="F6" s="6" t="inlineStr">
        <is>
          <t>13:09</t>
        </is>
      </c>
      <c r="G6" s="51" t="n">
        <v>495</v>
      </c>
      <c r="H6" s="51" t="n">
        <v>575</v>
      </c>
      <c r="I6" s="51" t="n">
        <v>2222620</v>
      </c>
      <c r="J6" s="51" t="n">
        <v>266865</v>
      </c>
      <c r="K6" s="51" t="n">
        <v>41803760</v>
      </c>
      <c r="L6" s="51" t="n">
        <v>209350</v>
      </c>
      <c r="M6" s="95" t="n">
        <v>24.8784</v>
      </c>
      <c r="N6" s="11" t="n">
        <v>0</v>
      </c>
      <c r="O6" s="6" t="inlineStr">
        <is>
          <t>docs/m1-lessons-learned</t>
        </is>
      </c>
      <c r="P6" s="51" t="n">
        <v>16</v>
      </c>
      <c r="Q6" s="57" t="inlineStr">
        <is>
          <t>conversation</t>
        </is>
      </c>
    </row>
    <row r="7" ht="19.5" customHeight="1" s="15">
      <c r="B7" s="8" t="inlineStr">
        <is>
          <t>2026-05-04</t>
        </is>
      </c>
      <c r="C7" s="8" t="n">
        <v>8</v>
      </c>
      <c r="D7" s="8" t="inlineStr">
        <is>
          <t>MAIN</t>
        </is>
      </c>
      <c r="E7" s="8" t="inlineStr">
        <is>
          <t>11:27</t>
        </is>
      </c>
      <c r="F7" s="8" t="inlineStr">
        <is>
          <t>12:27</t>
        </is>
      </c>
      <c r="G7" s="55" t="n">
        <v>60</v>
      </c>
      <c r="H7" s="55" t="n">
        <v>605</v>
      </c>
      <c r="I7" s="55" t="n">
        <v>57919271</v>
      </c>
      <c r="J7" s="55" t="n">
        <v>5050863</v>
      </c>
      <c r="K7" s="55" t="n">
        <v>2050437403</v>
      </c>
      <c r="L7" s="55" t="n">
        <v>220050</v>
      </c>
      <c r="M7" s="96" t="n">
        <v>908.0778</v>
      </c>
      <c r="N7" s="12" t="n">
        <v>0</v>
      </c>
      <c r="O7" s="8" t="inlineStr">
        <is>
          <t>main</t>
        </is>
      </c>
      <c r="P7" s="55" t="n">
        <v>12</v>
      </c>
      <c r="Q7" s="58" t="inlineStr">
        <is>
          <t>conversation</t>
        </is>
      </c>
    </row>
    <row r="8" ht="19.5" customHeight="1" s="15">
      <c r="B8" s="6" t="inlineStr">
        <is>
          <t>2026-05-04</t>
        </is>
      </c>
      <c r="C8" s="6" t="n">
        <v>8</v>
      </c>
      <c r="D8" s="6" t="inlineStr">
        <is>
          <t>MAIN</t>
        </is>
      </c>
      <c r="E8" s="6" t="inlineStr">
        <is>
          <t>11:44</t>
        </is>
      </c>
      <c r="F8" s="6" t="inlineStr">
        <is>
          <t>12:44</t>
        </is>
      </c>
      <c r="G8" s="51" t="n">
        <v>60</v>
      </c>
      <c r="H8" s="51" t="n">
        <v>646</v>
      </c>
      <c r="I8" s="51" t="n">
        <v>16906939</v>
      </c>
      <c r="J8" s="51" t="n">
        <v>2050459</v>
      </c>
      <c r="K8" s="51" t="n">
        <v>1102221244</v>
      </c>
      <c r="L8" s="51" t="n">
        <v>235100</v>
      </c>
      <c r="M8" s="95" t="n">
        <v>424.8218</v>
      </c>
      <c r="N8" s="11" t="n">
        <v>0</v>
      </c>
      <c r="O8" s="6" t="inlineStr">
        <is>
          <t>main</t>
        </is>
      </c>
      <c r="P8" s="51" t="n">
        <v>12</v>
      </c>
      <c r="Q8" s="57" t="inlineStr">
        <is>
          <t>conversation</t>
        </is>
      </c>
    </row>
    <row r="9" ht="19.5" customHeight="1" s="15">
      <c r="B9" s="8" t="inlineStr">
        <is>
          <t>2026-05-04</t>
        </is>
      </c>
      <c r="C9" s="8" t="n">
        <v>8</v>
      </c>
      <c r="D9" s="8" t="inlineStr">
        <is>
          <t>MAIN</t>
        </is>
      </c>
      <c r="E9" s="8" t="inlineStr">
        <is>
          <t>12:33</t>
        </is>
      </c>
      <c r="F9" s="8" t="inlineStr">
        <is>
          <t>13:33</t>
        </is>
      </c>
      <c r="G9" s="55" t="n">
        <v>60</v>
      </c>
      <c r="H9" s="55" t="n">
        <v>656</v>
      </c>
      <c r="I9" s="55" t="n">
        <v>29354349</v>
      </c>
      <c r="J9" s="55" t="n">
        <v>2836353</v>
      </c>
      <c r="K9" s="55" t="n">
        <v>1049822514</v>
      </c>
      <c r="L9" s="55" t="n">
        <v>238400</v>
      </c>
      <c r="M9" s="96" t="n">
        <v>467.5679</v>
      </c>
      <c r="N9" s="12" t="n">
        <v>0</v>
      </c>
      <c r="O9" s="8" t="inlineStr">
        <is>
          <t>main</t>
        </is>
      </c>
      <c r="P9" s="55" t="n">
        <v>13</v>
      </c>
      <c r="Q9" s="58" t="inlineStr">
        <is>
          <t>conversation</t>
        </is>
      </c>
    </row>
    <row r="10" ht="19.5" customHeight="1" s="15">
      <c r="B10" s="6" t="inlineStr">
        <is>
          <t>2026-04-28</t>
        </is>
      </c>
      <c r="C10" s="6" t="n">
        <v>2</v>
      </c>
      <c r="D10" s="6" t="inlineStr">
        <is>
          <t>MAIN</t>
        </is>
      </c>
      <c r="E10" s="6" t="inlineStr">
        <is>
          <t>04:30</t>
        </is>
      </c>
      <c r="F10" s="6" t="inlineStr">
        <is>
          <t>06:40</t>
        </is>
      </c>
      <c r="G10" s="51" t="n">
        <v>130</v>
      </c>
      <c r="H10" s="51" t="n">
        <v>85</v>
      </c>
      <c r="I10" s="51" t="n">
        <v>170000</v>
      </c>
      <c r="J10" s="51" t="n">
        <v>42500</v>
      </c>
      <c r="K10" s="51" t="n">
        <v>0</v>
      </c>
      <c r="L10" s="51" t="n">
        <v>57400</v>
      </c>
      <c r="M10" s="95" t="n">
        <v>1.1475</v>
      </c>
      <c r="N10" s="11" t="n">
        <v>4</v>
      </c>
      <c r="O10" s="6" t="inlineStr">
        <is>
          <t>main</t>
        </is>
      </c>
      <c r="P10" s="51" t="n">
        <v>5</v>
      </c>
      <c r="Q10" s="59" t="inlineStr">
        <is>
          <t>heuristic</t>
        </is>
      </c>
    </row>
    <row r="11" ht="19.5" customHeight="1" s="15">
      <c r="B11" s="8" t="inlineStr">
        <is>
          <t>2026-04-28</t>
        </is>
      </c>
      <c r="C11" s="8" t="n">
        <v>2</v>
      </c>
      <c r="D11" s="8" t="inlineStr">
        <is>
          <t>MAIN</t>
        </is>
      </c>
      <c r="E11" s="8" t="inlineStr">
        <is>
          <t>08:20</t>
        </is>
      </c>
      <c r="F11" s="8" t="inlineStr">
        <is>
          <t>09:35</t>
        </is>
      </c>
      <c r="G11" s="55" t="n">
        <v>75</v>
      </c>
      <c r="H11" s="55" t="n">
        <v>53</v>
      </c>
      <c r="I11" s="55" t="n">
        <v>106000</v>
      </c>
      <c r="J11" s="55" t="n">
        <v>26500</v>
      </c>
      <c r="K11" s="55" t="n">
        <v>0</v>
      </c>
      <c r="L11" s="55" t="n">
        <v>18850</v>
      </c>
      <c r="M11" s="96" t="n">
        <v>0.7155</v>
      </c>
      <c r="N11" s="12" t="n">
        <v>4</v>
      </c>
      <c r="O11" s="8" t="inlineStr">
        <is>
          <t>main</t>
        </is>
      </c>
      <c r="P11" s="55" t="n">
        <v>3</v>
      </c>
      <c r="Q11" s="60" t="inlineStr">
        <is>
          <t>heuristic</t>
        </is>
      </c>
    </row>
    <row r="12" ht="19.5" customHeight="1" s="15">
      <c r="B12" s="6" t="inlineStr">
        <is>
          <t>2026-04-28</t>
        </is>
      </c>
      <c r="C12" s="6" t="n">
        <v>2</v>
      </c>
      <c r="D12" s="6" t="inlineStr">
        <is>
          <t>MAIN</t>
        </is>
      </c>
      <c r="E12" s="6" t="inlineStr">
        <is>
          <t>13:35</t>
        </is>
      </c>
      <c r="F12" s="6" t="inlineStr">
        <is>
          <t>15:30</t>
        </is>
      </c>
      <c r="G12" s="51" t="n">
        <v>115</v>
      </c>
      <c r="H12" s="51" t="n">
        <v>75</v>
      </c>
      <c r="I12" s="51" t="n">
        <v>150000</v>
      </c>
      <c r="J12" s="51" t="n">
        <v>37500</v>
      </c>
      <c r="K12" s="51" t="n">
        <v>0</v>
      </c>
      <c r="L12" s="51" t="n">
        <v>26800</v>
      </c>
      <c r="M12" s="95" t="n">
        <v>1.0125</v>
      </c>
      <c r="N12" s="11" t="n">
        <v>4</v>
      </c>
      <c r="O12" s="6" t="inlineStr">
        <is>
          <t>main</t>
        </is>
      </c>
      <c r="P12" s="51" t="n">
        <v>4</v>
      </c>
      <c r="Q12" s="59" t="inlineStr">
        <is>
          <t>heuristic</t>
        </is>
      </c>
    </row>
    <row r="13" ht="19.5" customHeight="1" s="15">
      <c r="B13" s="8" t="inlineStr">
        <is>
          <t>2026-04-27</t>
        </is>
      </c>
      <c r="C13" s="8" t="n">
        <v>1</v>
      </c>
      <c r="D13" s="8" t="inlineStr">
        <is>
          <t>MAIN</t>
        </is>
      </c>
      <c r="E13" s="8" t="inlineStr">
        <is>
          <t>06:00</t>
        </is>
      </c>
      <c r="F13" s="8" t="inlineStr">
        <is>
          <t>17:00</t>
        </is>
      </c>
      <c r="G13" s="55" t="n">
        <v>660</v>
      </c>
      <c r="H13" s="55" t="n">
        <v>120</v>
      </c>
      <c r="I13" s="55" t="n">
        <v>240000</v>
      </c>
      <c r="J13" s="55" t="n">
        <v>60000</v>
      </c>
      <c r="K13" s="55" t="n">
        <v>0</v>
      </c>
      <c r="L13" s="55" t="n">
        <v>6450</v>
      </c>
      <c r="M13" s="96" t="n">
        <v>1.62</v>
      </c>
      <c r="N13" s="12" t="n">
        <v>4</v>
      </c>
      <c r="O13" s="8" t="inlineStr">
        <is>
          <t>main</t>
        </is>
      </c>
      <c r="P13" s="55" t="n">
        <v>17</v>
      </c>
      <c r="Q13" s="60" t="inlineStr">
        <is>
          <t>heuristic</t>
        </is>
      </c>
    </row>
    <row r="14" ht="24" customHeight="1" s="15">
      <c r="B14" t="inlineStr">
        <is>
          <t>2026-04-26</t>
        </is>
      </c>
      <c r="C14" t="n">
        <v>0</v>
      </c>
      <c r="D14" t="inlineStr">
        <is>
          <t>BE</t>
        </is>
      </c>
      <c r="E14" t="inlineStr">
        <is>
          <t>&lt;unknown&gt;</t>
        </is>
      </c>
      <c r="F14" t="inlineStr">
        <is>
          <t>&lt;unknown&gt;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P14" t="n">
        <v>0</v>
      </c>
      <c r="Q14" t="inlineStr">
        <is>
          <t>&lt;unknown&gt;</t>
        </is>
      </c>
    </row>
    <row r="15">
      <c r="B15" t="inlineStr">
        <is>
          <t>2026-04-26</t>
        </is>
      </c>
      <c r="C15" t="n">
        <v>0</v>
      </c>
      <c r="D15" t="inlineStr">
        <is>
          <t>FE</t>
        </is>
      </c>
      <c r="E15" t="inlineStr">
        <is>
          <t>&lt;unknown&gt;</t>
        </is>
      </c>
      <c r="F15" t="inlineStr">
        <is>
          <t>&lt;unknown&gt;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n">
        <v>0</v>
      </c>
      <c r="Q15" t="inlineStr">
        <is>
          <t>&lt;unknown&gt;</t>
        </is>
      </c>
    </row>
    <row r="16">
      <c r="B16" t="inlineStr">
        <is>
          <t>2026-04-26</t>
        </is>
      </c>
      <c r="C16" t="n">
        <v>0</v>
      </c>
      <c r="D16" t="inlineStr">
        <is>
          <t>MAIN</t>
        </is>
      </c>
      <c r="E16" t="inlineStr">
        <is>
          <t>&lt;unknown&gt;</t>
        </is>
      </c>
      <c r="F16" t="inlineStr">
        <is>
          <t>&lt;unknown&gt;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P16" t="n">
        <v>0</v>
      </c>
      <c r="Q16" t="inlineStr">
        <is>
          <t>&lt;unknown&gt;</t>
        </is>
      </c>
    </row>
    <row r="17">
      <c r="B17" t="inlineStr">
        <is>
          <t>2026-04-27</t>
        </is>
      </c>
      <c r="C17" t="n">
        <v>1</v>
      </c>
      <c r="D17" t="inlineStr">
        <is>
          <t>BE</t>
        </is>
      </c>
      <c r="E17" t="inlineStr">
        <is>
          <t>&lt;unknown&gt;</t>
        </is>
      </c>
      <c r="F17" t="inlineStr">
        <is>
          <t>&lt;unknown&gt;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P17" t="n">
        <v>0</v>
      </c>
      <c r="Q17" t="inlineStr">
        <is>
          <t>&lt;unknown&gt;</t>
        </is>
      </c>
    </row>
    <row r="18">
      <c r="B18" t="inlineStr">
        <is>
          <t>2026-04-27</t>
        </is>
      </c>
      <c r="C18" t="n">
        <v>1</v>
      </c>
      <c r="D18" t="inlineStr">
        <is>
          <t>FE</t>
        </is>
      </c>
      <c r="E18" t="inlineStr">
        <is>
          <t>&lt;unknown&gt;</t>
        </is>
      </c>
      <c r="F18" t="inlineStr">
        <is>
          <t>&lt;unknown&gt;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P18" t="n">
        <v>0</v>
      </c>
      <c r="Q18" t="inlineStr">
        <is>
          <t>&lt;unknown&gt;</t>
        </is>
      </c>
    </row>
    <row r="19">
      <c r="B19" t="inlineStr">
        <is>
          <t>2026-04-28</t>
        </is>
      </c>
      <c r="C19" t="n">
        <v>2</v>
      </c>
      <c r="D19" t="inlineStr">
        <is>
          <t>BE</t>
        </is>
      </c>
      <c r="E19" t="inlineStr">
        <is>
          <t>&lt;unknown&gt;</t>
        </is>
      </c>
      <c r="F19" t="inlineStr">
        <is>
          <t>&lt;unknown&gt;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P19" t="n">
        <v>0</v>
      </c>
      <c r="Q19" t="inlineStr">
        <is>
          <t>&lt;unknown&gt;</t>
        </is>
      </c>
    </row>
    <row r="20">
      <c r="B20" t="inlineStr">
        <is>
          <t>2026-04-28</t>
        </is>
      </c>
      <c r="C20" t="n">
        <v>2</v>
      </c>
      <c r="D20" t="inlineStr">
        <is>
          <t>FE</t>
        </is>
      </c>
      <c r="E20" t="inlineStr">
        <is>
          <t>&lt;unknown&gt;</t>
        </is>
      </c>
      <c r="F20" t="inlineStr">
        <is>
          <t>&lt;unknown&gt;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P20" t="n">
        <v>0</v>
      </c>
      <c r="Q20" t="inlineStr">
        <is>
          <t>&lt;unknown&gt;</t>
        </is>
      </c>
    </row>
    <row r="21">
      <c r="B21" t="inlineStr">
        <is>
          <t>2026-04-29</t>
        </is>
      </c>
      <c r="C21" t="n">
        <v>3</v>
      </c>
      <c r="D21" t="inlineStr">
        <is>
          <t>BE</t>
        </is>
      </c>
      <c r="E21" t="inlineStr">
        <is>
          <t>&lt;unknown&gt;</t>
        </is>
      </c>
      <c r="F21" t="inlineStr">
        <is>
          <t>&lt;unknown&gt;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P21" t="n">
        <v>0</v>
      </c>
      <c r="Q21" t="inlineStr">
        <is>
          <t>&lt;unknown&gt;</t>
        </is>
      </c>
    </row>
    <row r="22">
      <c r="B22" t="inlineStr">
        <is>
          <t>2026-04-29</t>
        </is>
      </c>
      <c r="C22" t="n">
        <v>3</v>
      </c>
      <c r="D22" t="inlineStr">
        <is>
          <t>FE</t>
        </is>
      </c>
      <c r="E22" t="inlineStr">
        <is>
          <t>&lt;unknown&gt;</t>
        </is>
      </c>
      <c r="F22" t="inlineStr">
        <is>
          <t>&lt;unknown&gt;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P22" t="n">
        <v>0</v>
      </c>
      <c r="Q22" t="inlineStr">
        <is>
          <t>&lt;unknown&gt;</t>
        </is>
      </c>
    </row>
    <row r="23">
      <c r="B23" t="inlineStr">
        <is>
          <t>2026-04-29</t>
        </is>
      </c>
      <c r="C23" t="n">
        <v>3</v>
      </c>
      <c r="D23" t="inlineStr">
        <is>
          <t>MAIN</t>
        </is>
      </c>
      <c r="E23" t="inlineStr">
        <is>
          <t>&lt;unknown&gt;</t>
        </is>
      </c>
      <c r="F23" t="inlineStr">
        <is>
          <t>&lt;unknown&gt;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P23" t="n">
        <v>0</v>
      </c>
      <c r="Q23" t="inlineStr">
        <is>
          <t>&lt;unknown&gt;</t>
        </is>
      </c>
    </row>
    <row r="24">
      <c r="B24" t="inlineStr">
        <is>
          <t>2026-04-30</t>
        </is>
      </c>
      <c r="C24" t="n">
        <v>4</v>
      </c>
      <c r="D24" t="inlineStr">
        <is>
          <t>BE</t>
        </is>
      </c>
      <c r="E24" t="inlineStr">
        <is>
          <t>&lt;unknown&gt;</t>
        </is>
      </c>
      <c r="F24" t="inlineStr">
        <is>
          <t>&lt;unknown&gt;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P24" t="n">
        <v>0</v>
      </c>
      <c r="Q24" t="inlineStr">
        <is>
          <t>&lt;unknown&gt;</t>
        </is>
      </c>
    </row>
    <row r="25">
      <c r="B25" t="inlineStr">
        <is>
          <t>2026-04-30</t>
        </is>
      </c>
      <c r="C25" t="n">
        <v>4</v>
      </c>
      <c r="D25" t="inlineStr">
        <is>
          <t>FE</t>
        </is>
      </c>
      <c r="E25" t="inlineStr">
        <is>
          <t>&lt;unknown&gt;</t>
        </is>
      </c>
      <c r="F25" t="inlineStr">
        <is>
          <t>&lt;unknown&gt;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P25" t="n">
        <v>0</v>
      </c>
      <c r="Q25" t="inlineStr">
        <is>
          <t>&lt;unknown&gt;</t>
        </is>
      </c>
    </row>
    <row r="26">
      <c r="B26" t="inlineStr">
        <is>
          <t>2026-04-30</t>
        </is>
      </c>
      <c r="C26" t="n">
        <v>4</v>
      </c>
      <c r="D26" t="inlineStr">
        <is>
          <t>MAIN</t>
        </is>
      </c>
      <c r="E26" t="inlineStr">
        <is>
          <t>&lt;unknown&gt;</t>
        </is>
      </c>
      <c r="F26" t="inlineStr">
        <is>
          <t>&lt;unknown&gt;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P26" t="n">
        <v>0</v>
      </c>
      <c r="Q26" t="inlineStr">
        <is>
          <t>&lt;unknown&gt;</t>
        </is>
      </c>
    </row>
    <row r="27">
      <c r="B27" t="inlineStr">
        <is>
          <t>2026-05-01</t>
        </is>
      </c>
      <c r="C27" t="n">
        <v>5</v>
      </c>
      <c r="D27" t="inlineStr">
        <is>
          <t>BE</t>
        </is>
      </c>
      <c r="E27" t="inlineStr">
        <is>
          <t>&lt;unknown&gt;</t>
        </is>
      </c>
      <c r="F27" t="inlineStr">
        <is>
          <t>&lt;unknown&gt;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P27" t="n">
        <v>0</v>
      </c>
      <c r="Q27" t="inlineStr">
        <is>
          <t>&lt;unknown&gt;</t>
        </is>
      </c>
    </row>
    <row r="28">
      <c r="B28" t="inlineStr">
        <is>
          <t>2026-05-01</t>
        </is>
      </c>
      <c r="C28" t="n">
        <v>5</v>
      </c>
      <c r="D28" t="inlineStr">
        <is>
          <t>FE</t>
        </is>
      </c>
      <c r="E28" t="inlineStr">
        <is>
          <t>&lt;unknown&gt;</t>
        </is>
      </c>
      <c r="F28" t="inlineStr">
        <is>
          <t>&lt;unknown&gt;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P28" t="n">
        <v>0</v>
      </c>
      <c r="Q28" t="inlineStr">
        <is>
          <t>&lt;unknown&gt;</t>
        </is>
      </c>
    </row>
    <row r="29">
      <c r="B29" t="inlineStr">
        <is>
          <t>2026-05-01</t>
        </is>
      </c>
      <c r="C29" t="n">
        <v>5</v>
      </c>
      <c r="D29" t="inlineStr">
        <is>
          <t>MAIN</t>
        </is>
      </c>
      <c r="E29" t="inlineStr">
        <is>
          <t>&lt;unknown&gt;</t>
        </is>
      </c>
      <c r="F29" t="inlineStr">
        <is>
          <t>&lt;unknown&gt;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P29" t="n">
        <v>0</v>
      </c>
      <c r="Q29" t="inlineStr">
        <is>
          <t>&lt;unknown&gt;</t>
        </is>
      </c>
    </row>
    <row r="30">
      <c r="B30" t="inlineStr">
        <is>
          <t>2026-05-02</t>
        </is>
      </c>
      <c r="C30" t="n">
        <v>6</v>
      </c>
      <c r="D30" t="inlineStr">
        <is>
          <t>BE</t>
        </is>
      </c>
      <c r="E30" t="inlineStr">
        <is>
          <t>&lt;unknown&gt;</t>
        </is>
      </c>
      <c r="F30" t="inlineStr">
        <is>
          <t>&lt;unknown&gt;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0</v>
      </c>
      <c r="Q30" t="inlineStr">
        <is>
          <t>&lt;unknown&gt;</t>
        </is>
      </c>
    </row>
    <row r="31">
      <c r="B31" t="inlineStr">
        <is>
          <t>2026-05-02</t>
        </is>
      </c>
      <c r="C31" t="n">
        <v>6</v>
      </c>
      <c r="D31" t="inlineStr">
        <is>
          <t>FE</t>
        </is>
      </c>
      <c r="E31" t="inlineStr">
        <is>
          <t>&lt;unknown&gt;</t>
        </is>
      </c>
      <c r="F31" t="inlineStr">
        <is>
          <t>&lt;unknown&gt;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P31" t="n">
        <v>0</v>
      </c>
      <c r="Q31" t="inlineStr">
        <is>
          <t>&lt;unknown&gt;</t>
        </is>
      </c>
    </row>
    <row r="32">
      <c r="B32" t="inlineStr">
        <is>
          <t>2026-05-02</t>
        </is>
      </c>
      <c r="C32" t="n">
        <v>6</v>
      </c>
      <c r="D32" t="inlineStr">
        <is>
          <t>MAIN</t>
        </is>
      </c>
      <c r="E32" t="inlineStr">
        <is>
          <t>&lt;unknown&gt;</t>
        </is>
      </c>
      <c r="F32" t="inlineStr">
        <is>
          <t>&lt;unknown&gt;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P32" t="n">
        <v>0</v>
      </c>
      <c r="Q32" t="inlineStr">
        <is>
          <t>&lt;unknown&gt;</t>
        </is>
      </c>
    </row>
    <row r="33">
      <c r="B33" t="inlineStr">
        <is>
          <t>2026-05-03</t>
        </is>
      </c>
      <c r="C33" t="n">
        <v>7</v>
      </c>
      <c r="D33" t="inlineStr">
        <is>
          <t>BE</t>
        </is>
      </c>
      <c r="E33" t="inlineStr">
        <is>
          <t>&lt;unknown&gt;</t>
        </is>
      </c>
      <c r="F33" t="inlineStr">
        <is>
          <t>&lt;unknown&gt;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P33" t="n">
        <v>0</v>
      </c>
      <c r="Q33" t="inlineStr">
        <is>
          <t>&lt;unknown&gt;</t>
        </is>
      </c>
    </row>
    <row r="34">
      <c r="B34" t="inlineStr">
        <is>
          <t>2026-05-03</t>
        </is>
      </c>
      <c r="C34" t="n">
        <v>7</v>
      </c>
      <c r="D34" t="inlineStr">
        <is>
          <t>FE</t>
        </is>
      </c>
      <c r="E34" t="inlineStr">
        <is>
          <t>&lt;unknown&gt;</t>
        </is>
      </c>
      <c r="F34" t="inlineStr">
        <is>
          <t>&lt;unknown&gt;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P34" t="n">
        <v>0</v>
      </c>
      <c r="Q34" t="inlineStr">
        <is>
          <t>&lt;unknown&gt;</t>
        </is>
      </c>
    </row>
    <row r="35">
      <c r="B35" t="inlineStr">
        <is>
          <t>2026-05-03</t>
        </is>
      </c>
      <c r="C35" t="n">
        <v>7</v>
      </c>
      <c r="D35" t="inlineStr">
        <is>
          <t>MAIN</t>
        </is>
      </c>
      <c r="E35" t="inlineStr">
        <is>
          <t>&lt;unknown&gt;</t>
        </is>
      </c>
      <c r="F35" t="inlineStr">
        <is>
          <t>&lt;unknown&gt;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P35" t="n">
        <v>0</v>
      </c>
      <c r="Q35" t="inlineStr">
        <is>
          <t>&lt;unknown&gt;</t>
        </is>
      </c>
    </row>
    <row r="36">
      <c r="B36" t="inlineStr">
        <is>
          <t>2026-05-05</t>
        </is>
      </c>
      <c r="C36" t="n">
        <v>9</v>
      </c>
      <c r="D36" t="inlineStr">
        <is>
          <t>MAIN</t>
        </is>
      </c>
      <c r="E36" t="inlineStr">
        <is>
          <t>04:54</t>
        </is>
      </c>
      <c r="F36" t="inlineStr">
        <is>
          <t>13:57</t>
        </is>
      </c>
      <c r="G36" t="n">
        <v>543</v>
      </c>
      <c r="H36" t="n">
        <v>577</v>
      </c>
      <c r="I36" t="n">
        <v>4913355</v>
      </c>
      <c r="J36" t="n">
        <v>425912</v>
      </c>
      <c r="K36" t="n">
        <v>120295112</v>
      </c>
      <c r="L36" t="n">
        <v>209850</v>
      </c>
      <c r="M36" t="n">
        <v>60.9014</v>
      </c>
      <c r="N36" t="n">
        <v>0</v>
      </c>
      <c r="O36" t="inlineStr">
        <is>
          <t>docs/m1-lessons-learned</t>
        </is>
      </c>
      <c r="P36" t="n">
        <v>16</v>
      </c>
      <c r="Q36" t="inlineStr">
        <is>
          <t>conversation</t>
        </is>
      </c>
    </row>
    <row r="37">
      <c r="B37" s="37" t="inlineStr">
        <is>
          <t>TOTAL</t>
        </is>
      </c>
      <c r="C37" s="54" t="n"/>
      <c r="D37" s="54" t="n"/>
      <c r="E37" s="54" t="n"/>
      <c r="F37" s="54" t="n"/>
      <c r="G37" s="50">
        <f>SUM(G6:G36)</f>
        <v/>
      </c>
      <c r="H37" s="50">
        <f>SUM(H6:H36)</f>
        <v/>
      </c>
      <c r="I37" s="50">
        <f>SUM(I6:I36)</f>
        <v/>
      </c>
      <c r="J37" s="50">
        <f>SUM(J6:J36)</f>
        <v/>
      </c>
      <c r="K37" s="50">
        <f>SUM(K6:K36)</f>
        <v/>
      </c>
      <c r="L37" s="50">
        <f>SUM(L6:L36)</f>
        <v/>
      </c>
      <c r="M37" s="97">
        <f>SUM(M6:M36)</f>
        <v/>
      </c>
      <c r="N37" s="54" t="n"/>
      <c r="O37" s="54" t="n"/>
      <c r="P37" s="50">
        <f>SUM(P6:P36)</f>
        <v/>
      </c>
      <c r="Q37" s="54" t="n"/>
    </row>
  </sheetData>
  <mergeCells count="2">
    <mergeCell ref="B2:Q2"/>
    <mergeCell ref="B3:Q3"/>
  </mergeCells>
  <conditionalFormatting sqref="L6:L13">
    <cfRule type="dataBar" priority="2">
      <dataBar>
        <cfvo type="min"/>
        <cfvo type="max"/>
        <color rgb="FF4A90D9"/>
      </dataBar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0"/>
  <sheetViews>
    <sheetView showGridLines="0" workbookViewId="0">
      <selection activeCell="A1" sqref="A1"/>
    </sheetView>
  </sheetViews>
  <sheetFormatPr baseColWidth="8" defaultColWidth="8.6796875" defaultRowHeight="16.8"/>
  <cols>
    <col width="3" customWidth="1" style="15" min="1" max="1"/>
    <col width="12" customWidth="1" style="15" min="2" max="2"/>
    <col width="8" customWidth="1" style="15" min="3" max="3"/>
    <col width="14" customWidth="1" style="15" min="4" max="6"/>
    <col width="16" customWidth="1" style="15" min="7" max="9"/>
    <col width="14" customWidth="1" style="15" min="10" max="11"/>
  </cols>
  <sheetData>
    <row r="2" ht="31.5" customHeight="1" s="15">
      <c r="B2" s="1" t="inlineStr">
        <is>
          <t>Token Daily Rollup — Per-Date Totals (Latest First)</t>
        </is>
      </c>
    </row>
    <row r="3" ht="15" customHeight="1" s="15">
      <c r="B3" s="17" t="inlineStr">
        <is>
          <t>Aggregated token telemetry by date · Formula-backed from Token Sessions sheet</t>
        </is>
      </c>
    </row>
    <row r="5" ht="24" customHeight="1" s="15">
      <c r="B5" s="42" t="inlineStr">
        <is>
          <t>Date</t>
        </is>
      </c>
      <c r="C5" s="42" t="inlineStr">
        <is>
          <t>Day-N</t>
        </is>
      </c>
      <c r="D5" s="42" t="inlineStr">
        <is>
          <t>Total Sessions</t>
        </is>
      </c>
      <c r="E5" s="42" t="inlineStr">
        <is>
          <t>Total Hours</t>
        </is>
      </c>
      <c r="F5" s="42" t="inlineStr">
        <is>
          <t>Total Tool Calls</t>
        </is>
      </c>
      <c r="G5" s="42" t="inlineStr">
        <is>
          <t>Total Tokens In</t>
        </is>
      </c>
      <c r="H5" s="42" t="inlineStr">
        <is>
          <t>Total Tokens Out</t>
        </is>
      </c>
      <c r="I5" s="42" t="inlineStr">
        <is>
          <t>Total Tokens Saved</t>
        </is>
      </c>
      <c r="J5" s="42" t="inlineStr">
        <is>
          <t>Total Cost USD</t>
        </is>
      </c>
      <c r="K5" s="42" t="inlineStr">
        <is>
          <t>Avg Saved/Session</t>
        </is>
      </c>
    </row>
    <row r="6" ht="21.75" customHeight="1" s="15">
      <c r="B6" s="6" t="inlineStr">
        <is>
          <t>2026-05-05</t>
        </is>
      </c>
      <c r="C6" s="6" t="n">
        <v>9</v>
      </c>
      <c r="D6" s="6" t="n">
        <v>1</v>
      </c>
      <c r="E6" s="11" t="n">
        <v>8.25</v>
      </c>
      <c r="F6" s="6" t="n">
        <v>575</v>
      </c>
      <c r="G6" s="51" t="n">
        <v>2222620</v>
      </c>
      <c r="H6" s="51" t="n">
        <v>266865</v>
      </c>
      <c r="I6" s="51" t="n">
        <v>209350</v>
      </c>
      <c r="J6" s="95" t="n">
        <v>24.8784</v>
      </c>
      <c r="K6" s="51">
        <f>IFERROR(I6/D6,0)</f>
        <v/>
      </c>
    </row>
    <row r="7" ht="21.75" customHeight="1" s="15">
      <c r="B7" s="8" t="inlineStr">
        <is>
          <t>2026-05-04</t>
        </is>
      </c>
      <c r="C7" s="8" t="n">
        <v>8</v>
      </c>
      <c r="D7" s="8" t="n">
        <v>3</v>
      </c>
      <c r="E7" s="12" t="n">
        <v>3</v>
      </c>
      <c r="F7" s="8" t="n">
        <v>1907</v>
      </c>
      <c r="G7" s="55" t="n">
        <v>104180559</v>
      </c>
      <c r="H7" s="55" t="n">
        <v>9937675</v>
      </c>
      <c r="I7" s="55" t="n">
        <v>693550</v>
      </c>
      <c r="J7" s="96" t="n">
        <v>1800.4675</v>
      </c>
      <c r="K7" s="55">
        <f>IFERROR(I7/D7,0)</f>
        <v/>
      </c>
    </row>
    <row r="8" ht="21.75" customHeight="1" s="15">
      <c r="B8" s="6" t="inlineStr">
        <is>
          <t>2026-04-28</t>
        </is>
      </c>
      <c r="C8" s="6" t="n">
        <v>2</v>
      </c>
      <c r="D8" s="6" t="n">
        <v>3</v>
      </c>
      <c r="E8" s="11" t="n">
        <v>5.33333333333333</v>
      </c>
      <c r="F8" s="6" t="n">
        <v>213</v>
      </c>
      <c r="G8" s="51" t="n">
        <v>426000</v>
      </c>
      <c r="H8" s="51" t="n">
        <v>106500</v>
      </c>
      <c r="I8" s="51" t="n">
        <v>103050</v>
      </c>
      <c r="J8" s="95" t="n">
        <v>2.8755</v>
      </c>
      <c r="K8" s="51">
        <f>IFERROR(I8/D8,0)</f>
        <v/>
      </c>
    </row>
    <row r="9" ht="21.75" customHeight="1" s="15">
      <c r="B9" s="8" t="inlineStr">
        <is>
          <t>2026-04-27</t>
        </is>
      </c>
      <c r="C9" s="8" t="n">
        <v>1</v>
      </c>
      <c r="D9" s="8" t="n">
        <v>1</v>
      </c>
      <c r="E9" s="12" t="n">
        <v>11</v>
      </c>
      <c r="F9" s="8" t="n">
        <v>120</v>
      </c>
      <c r="G9" s="55" t="n">
        <v>240000</v>
      </c>
      <c r="H9" s="55" t="n">
        <v>60000</v>
      </c>
      <c r="I9" s="55" t="n">
        <v>6450</v>
      </c>
      <c r="J9" s="96" t="n">
        <v>1.62</v>
      </c>
      <c r="K9" s="55">
        <f>IFERROR(I9/D9,0)</f>
        <v/>
      </c>
    </row>
    <row r="10" ht="24" customHeight="1" s="15">
      <c r="B10" s="37" t="inlineStr">
        <is>
          <t>TOTAL</t>
        </is>
      </c>
      <c r="C10" s="54" t="n"/>
      <c r="D10" s="50">
        <f>SUM(D6:D9)</f>
        <v/>
      </c>
      <c r="E10" s="13">
        <f>SUM(E6:E9)</f>
        <v/>
      </c>
      <c r="F10" s="50">
        <f>SUM(F6:F9)</f>
        <v/>
      </c>
      <c r="G10" s="50">
        <f>SUM(G6:G9)</f>
        <v/>
      </c>
      <c r="H10" s="50">
        <f>SUM(H6:H9)</f>
        <v/>
      </c>
      <c r="I10" s="50">
        <f>SUM(I6:I9)</f>
        <v/>
      </c>
      <c r="J10" s="97">
        <f>SUM(J6:J9)</f>
        <v/>
      </c>
      <c r="K10" s="54" t="n"/>
    </row>
  </sheetData>
  <mergeCells count="2">
    <mergeCell ref="B3:K3"/>
    <mergeCell ref="B2:K2"/>
  </mergeCells>
  <conditionalFormatting sqref="I6:I9">
    <cfRule type="dataBar" priority="2">
      <dataBar>
        <cfvo type="min"/>
        <cfvo type="max"/>
        <color rgb="FF4A90D9"/>
      </dataBar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7"/>
  <sheetViews>
    <sheetView showGridLines="0" workbookViewId="0">
      <selection activeCell="A1" sqref="A1"/>
    </sheetView>
  </sheetViews>
  <sheetFormatPr baseColWidth="8" defaultColWidth="8.6796875" defaultRowHeight="16.8" outlineLevelRow="6"/>
  <cols>
    <col width="3" customWidth="1" style="15" min="1" max="1"/>
    <col width="14" customWidth="1" style="15" min="2" max="2"/>
    <col width="12" customWidth="1" style="15" min="3" max="4"/>
    <col width="16" customWidth="1" style="15" min="5" max="7"/>
    <col width="14" customWidth="1" style="15" min="8" max="8"/>
    <col width="18" customWidth="1" style="15" min="9" max="9"/>
    <col width="14" customWidth="1" style="15" min="10" max="10"/>
  </cols>
  <sheetData>
    <row r="2" ht="31.5" customHeight="1" s="15">
      <c r="B2" s="1" t="inlineStr">
        <is>
          <t>Token Comparison — Worktree-Level Rollup</t>
        </is>
      </c>
    </row>
    <row r="3" ht="15" customHeight="1" s="15">
      <c r="B3" s="17" t="inlineStr">
        <is>
          <t>Aggregated token metrics by worktree · Formula-backed from Token Sessions</t>
        </is>
      </c>
    </row>
    <row r="5" ht="24" customHeight="1" s="15">
      <c r="B5" s="42" t="inlineStr">
        <is>
          <t>Worktree</t>
        </is>
      </c>
      <c r="C5" s="42" t="inlineStr">
        <is>
          <t>Sessions</t>
        </is>
      </c>
      <c r="D5" s="42" t="inlineStr">
        <is>
          <t>Hours</t>
        </is>
      </c>
      <c r="E5" s="42" t="inlineStr">
        <is>
          <t>Tokens In</t>
        </is>
      </c>
      <c r="F5" s="42" t="inlineStr">
        <is>
          <t>Tokens Out</t>
        </is>
      </c>
      <c r="G5" s="42" t="inlineStr">
        <is>
          <t>Tokens Saved</t>
        </is>
      </c>
      <c r="H5" s="42" t="inlineStr">
        <is>
          <t>Cost USD</t>
        </is>
      </c>
      <c r="I5" s="42" t="inlineStr">
        <is>
          <t>Saved / Hour</t>
        </is>
      </c>
      <c r="J5" s="42" t="inlineStr">
        <is>
          <t>In:Out Ratio</t>
        </is>
      </c>
    </row>
    <row r="6" ht="21.75" customHeight="1" s="15">
      <c r="B6" s="6" t="inlineStr">
        <is>
          <t>MAIN</t>
        </is>
      </c>
      <c r="C6" s="6" t="n">
        <v>8</v>
      </c>
      <c r="D6" s="11" t="n">
        <v>27.5833333333333</v>
      </c>
      <c r="E6" s="51" t="n">
        <v>107069179</v>
      </c>
      <c r="F6" s="51" t="n">
        <v>10371040</v>
      </c>
      <c r="G6" s="51" t="n">
        <v>1012400</v>
      </c>
      <c r="H6" s="95" t="n">
        <v>1829.8414</v>
      </c>
      <c r="I6" s="51">
        <f>IFERROR(G6/D6,0)</f>
        <v/>
      </c>
      <c r="J6" s="11">
        <f>IFERROR(E6/F6,0)</f>
        <v/>
      </c>
    </row>
    <row r="7" ht="24" customHeight="1" s="15">
      <c r="B7" s="37" t="inlineStr">
        <is>
          <t>GRAND TOTAL</t>
        </is>
      </c>
      <c r="C7" s="50">
        <f>SUM(C6:C6)</f>
        <v/>
      </c>
      <c r="D7" s="13">
        <f>SUM(D6:D6)</f>
        <v/>
      </c>
      <c r="E7" s="50">
        <f>SUM(E6:E6)</f>
        <v/>
      </c>
      <c r="F7" s="50">
        <f>SUM(F6:F6)</f>
        <v/>
      </c>
      <c r="G7" s="50">
        <f>SUM(G6:G6)</f>
        <v/>
      </c>
      <c r="H7" s="97">
        <f>SUM(H6:H6)</f>
        <v/>
      </c>
      <c r="I7" s="50">
        <f>IFERROR(G7/D7,0)</f>
        <v/>
      </c>
      <c r="J7" s="13">
        <f>IFERROR(E7/F7,0)</f>
        <v/>
      </c>
    </row>
  </sheetData>
  <mergeCells count="2">
    <mergeCell ref="B3:J3"/>
    <mergeCell ref="B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49"/>
  <sheetViews>
    <sheetView showGridLines="0" workbookViewId="0">
      <selection activeCell="E15" sqref="E15:F15"/>
    </sheetView>
  </sheetViews>
  <sheetFormatPr baseColWidth="8" defaultColWidth="8.6796875" defaultRowHeight="16.8"/>
  <cols>
    <col width="3" customWidth="1" style="15" min="1" max="1"/>
    <col width="30" customWidth="1" style="15" min="2" max="2"/>
    <col width="14" customWidth="1" style="15" min="3" max="3"/>
    <col width="15.0625" customWidth="1" style="15" min="4" max="4"/>
    <col width="8.9375" customWidth="1" style="15" min="5" max="5"/>
    <col width="14" customWidth="1" style="15" min="6" max="7"/>
    <col width="3" customWidth="1" style="15" min="8" max="8"/>
  </cols>
  <sheetData>
    <row r="2" ht="36" customHeight="1" s="15">
      <c r="B2" s="16" t="inlineStr">
        <is>
          <t>QA Nexus PM1 — Consolidated Management Report</t>
        </is>
      </c>
    </row>
    <row r="3" ht="15" customHeight="1" s="15">
      <c r="B3" s="17" t="inlineStr">
        <is>
          <t>Effort evidence, delivery progress, and token-management ROI · Yogesh Mohite · 2026-04-17 to 2026-05-05</t>
        </is>
      </c>
    </row>
    <row r="4" ht="7.5" customHeight="1" s="15"/>
    <row r="5" ht="24" customHeight="1" s="15">
      <c r="B5" s="90" t="inlineStr">
        <is>
          <t>1. Executive Summary</t>
        </is>
      </c>
    </row>
    <row r="6" ht="36" customHeight="1" s="15">
      <c r="B6" s="19" t="inlineStr">
        <is>
          <t>Built an AI-native QA management platform for Iksula's 8-person QA team — from blank-page idea to a working code base in 19 days. Validated the vision with market research and competitor analysis, locked the product spec (PRD v6), data model (ERD), and 18-milestone roadmap (PM1 MVP → v2 GA), designed 41 production-quality UI frames, then shipped development: 21-table Prisma schema with row-level security and pgvector indexes, F07 Founder Onboarding 3-step wizard, full CI/CD pipeline, and multiple PRs merged — all on $0/month free-tier infra. Token-management telemetry tracks 1M+ tokens saved through memory-injection and context-preload techniques.</t>
        </is>
      </c>
    </row>
    <row r="7" ht="36" customHeight="1" s="15"/>
    <row r="8" ht="36" customHeight="1" s="15"/>
    <row r="9" ht="36" customHeight="1" s="15"/>
    <row r="10" ht="7.5" customHeight="1" s="15"/>
    <row r="11" ht="24" customHeight="1" s="15">
      <c r="B11" s="90" t="inlineStr">
        <is>
          <t>2. Management KPIs</t>
        </is>
      </c>
    </row>
    <row r="12" ht="21.75" customHeight="1" s="15">
      <c r="B12" s="20" t="inlineStr">
        <is>
          <t>Metric</t>
        </is>
      </c>
      <c r="C12" s="42" t="inlineStr">
        <is>
          <t>Value</t>
        </is>
      </c>
      <c r="D12" s="20" t="inlineStr">
        <is>
          <t>Formula Source</t>
        </is>
      </c>
      <c r="E12" s="42" t="inlineStr">
        <is>
          <t>Management Meaning</t>
        </is>
      </c>
    </row>
    <row r="13" ht="31" customHeight="1" s="15">
      <c r="B13" s="89" t="inlineStr">
        <is>
          <t>Total Hours</t>
        </is>
      </c>
      <c r="C13" s="23">
        <f>'All Sessions'!E63</f>
        <v/>
      </c>
      <c r="D13" s="24" t="inlineStr">
        <is>
          <t>All Sessions</t>
        </is>
      </c>
      <c r="E13" s="43" t="inlineStr">
        <is>
          <t>Verifiable work effort available as management proof</t>
        </is>
      </c>
    </row>
    <row r="14">
      <c r="B14" s="87" t="inlineStr">
        <is>
          <t>Work Sessions</t>
        </is>
      </c>
      <c r="C14" s="26">
        <f>'All Sessions'!F63</f>
        <v/>
      </c>
      <c r="D14" s="27" t="inlineStr">
        <is>
          <t>All Sessions</t>
        </is>
      </c>
      <c r="E14" s="44" t="inlineStr">
        <is>
          <t>Count of evidence rows supporting the effort story</t>
        </is>
      </c>
    </row>
    <row r="15" ht="21.75" customHeight="1" s="15">
      <c r="B15" s="89" t="inlineStr">
        <is>
          <t>Active Days</t>
        </is>
      </c>
      <c r="C15" s="28">
        <f>COUNTA('Daily Rollup'!B6:B17)</f>
        <v/>
      </c>
      <c r="D15" s="24" t="inlineStr">
        <is>
          <t>Daily Rollup</t>
        </is>
      </c>
      <c r="E15" s="43" t="inlineStr">
        <is>
          <t>Number of distinct days with logged development evidence</t>
        </is>
      </c>
    </row>
    <row r="16" ht="21.75" customHeight="1" s="15">
      <c r="B16" s="87" t="inlineStr">
        <is>
          <t>Tokens Saved</t>
        </is>
      </c>
      <c r="C16" s="29">
        <f>'Token Comparison'!G7</f>
        <v/>
      </c>
      <c r="D16" s="27" t="inlineStr">
        <is>
          <t>Token Comparison</t>
        </is>
      </c>
      <c r="E16" s="44" t="inlineStr">
        <is>
          <t>Estimated savings from memory-management and context preload</t>
        </is>
      </c>
    </row>
    <row r="17" ht="21.75" customHeight="1" s="15">
      <c r="B17" s="89" t="inlineStr">
        <is>
          <t>Est. Token Cost (USD)</t>
        </is>
      </c>
      <c r="C17" s="98">
        <f>'Token Comparison'!H7</f>
        <v/>
      </c>
      <c r="D17" s="24" t="inlineStr">
        <is>
          <t>Token Comparison</t>
        </is>
      </c>
      <c r="E17" s="43" t="inlineStr">
        <is>
          <t>Estimated model-token cost; separate from $0 infra posture</t>
        </is>
      </c>
    </row>
    <row r="18" ht="21.75" customHeight="1" s="15">
      <c r="B18" s="87" t="inlineStr">
        <is>
          <t>Infra Cost</t>
        </is>
      </c>
      <c r="C18" s="26" t="inlineStr">
        <is>
          <t>$0.00</t>
        </is>
      </c>
      <c r="D18" s="27" t="inlineStr">
        <is>
          <t>Cover</t>
        </is>
      </c>
      <c r="E18" s="44" t="inlineStr">
        <is>
          <t>All components run on confirmed free-tier hosting</t>
        </is>
      </c>
    </row>
    <row r="20" ht="7.5" customHeight="1" s="15"/>
    <row r="21" ht="24" customHeight="1" s="15">
      <c r="B21" s="90" t="inlineStr">
        <is>
          <t>3. Hours by Phase</t>
        </is>
      </c>
    </row>
    <row r="22" ht="21.75" customHeight="1" s="15">
      <c r="B22" s="20" t="inlineStr">
        <is>
          <t>Phase</t>
        </is>
      </c>
      <c r="C22" s="42" t="inlineStr">
        <is>
          <t>Sessions</t>
        </is>
      </c>
      <c r="D22" s="42" t="inlineStr">
        <is>
          <t>Hours</t>
        </is>
      </c>
      <c r="E22" s="42" t="inlineStr">
        <is>
          <t>% of Total</t>
        </is>
      </c>
    </row>
    <row r="23" ht="19.5" customHeight="1" s="15">
      <c r="B23" s="31">
        <f>'Phase Comparison'!C6</f>
        <v/>
      </c>
      <c r="C23" s="32">
        <f>'Phase Comparison'!D6</f>
        <v/>
      </c>
      <c r="D23" s="33">
        <f>'Phase Comparison'!F6</f>
        <v/>
      </c>
      <c r="E23" s="45">
        <f>'Phase Comparison'!I6</f>
        <v/>
      </c>
    </row>
    <row r="24" ht="19.5" customHeight="1" s="15">
      <c r="B24" s="34">
        <f>'Phase Comparison'!C7</f>
        <v/>
      </c>
      <c r="C24" s="35">
        <f>'Phase Comparison'!D7</f>
        <v/>
      </c>
      <c r="D24" s="36">
        <f>'Phase Comparison'!F7</f>
        <v/>
      </c>
      <c r="E24" s="46">
        <f>'Phase Comparison'!I7</f>
        <v/>
      </c>
    </row>
    <row r="25" ht="19.5" customHeight="1" s="15">
      <c r="B25" s="31">
        <f>'Phase Comparison'!C8</f>
        <v/>
      </c>
      <c r="C25" s="32">
        <f>'Phase Comparison'!D8</f>
        <v/>
      </c>
      <c r="D25" s="33">
        <f>'Phase Comparison'!F8</f>
        <v/>
      </c>
      <c r="E25" s="45">
        <f>'Phase Comparison'!I8</f>
        <v/>
      </c>
    </row>
    <row r="26" ht="19.5" customHeight="1" s="15">
      <c r="B26" s="34">
        <f>'Phase Comparison'!C9</f>
        <v/>
      </c>
      <c r="C26" s="35">
        <f>'Phase Comparison'!D9</f>
        <v/>
      </c>
      <c r="D26" s="36">
        <f>'Phase Comparison'!F9</f>
        <v/>
      </c>
      <c r="E26" s="46">
        <f>'Phase Comparison'!I9</f>
        <v/>
      </c>
    </row>
    <row r="27" ht="19.5" customHeight="1" s="15">
      <c r="B27" s="31">
        <f>'Phase Comparison'!C10</f>
        <v/>
      </c>
      <c r="C27" s="32">
        <f>'Phase Comparison'!D10</f>
        <v/>
      </c>
      <c r="D27" s="33">
        <f>'Phase Comparison'!F10</f>
        <v/>
      </c>
      <c r="E27" s="45">
        <f>'Phase Comparison'!I10</f>
        <v/>
      </c>
    </row>
    <row r="28" ht="19.5" customHeight="1" s="15">
      <c r="B28" s="34">
        <f>'Phase Comparison'!C11</f>
        <v/>
      </c>
      <c r="C28" s="35">
        <f>'Phase Comparison'!D11</f>
        <v/>
      </c>
      <c r="D28" s="36">
        <f>'Phase Comparison'!F11</f>
        <v/>
      </c>
      <c r="E28" s="46">
        <f>'Phase Comparison'!I11</f>
        <v/>
      </c>
    </row>
    <row r="29" ht="19.5" customHeight="1" s="15">
      <c r="B29" s="31">
        <f>'Phase Comparison'!C12</f>
        <v/>
      </c>
      <c r="C29" s="32">
        <f>'Phase Comparison'!D12</f>
        <v/>
      </c>
      <c r="D29" s="33">
        <f>'Phase Comparison'!F12</f>
        <v/>
      </c>
      <c r="E29" s="45">
        <f>'Phase Comparison'!I12</f>
        <v/>
      </c>
    </row>
    <row r="30" ht="19.5" customHeight="1" s="15">
      <c r="B30" s="34">
        <f>'Phase Comparison'!C13</f>
        <v/>
      </c>
      <c r="C30" s="35">
        <f>'Phase Comparison'!D13</f>
        <v/>
      </c>
      <c r="D30" s="36">
        <f>'Phase Comparison'!F13</f>
        <v/>
      </c>
      <c r="E30" s="46">
        <f>'Phase Comparison'!I13</f>
        <v/>
      </c>
    </row>
    <row r="31" ht="24" customHeight="1" s="15">
      <c r="B31" s="37" t="inlineStr">
        <is>
          <t>TOTAL</t>
        </is>
      </c>
      <c r="C31" s="14">
        <f>'Phase Comparison'!D14</f>
        <v/>
      </c>
      <c r="D31" s="13">
        <f>'Phase Comparison'!F14</f>
        <v/>
      </c>
      <c r="E31" s="47">
        <f>'Phase Comparison'!I14</f>
        <v/>
      </c>
    </row>
    <row r="32" ht="7.5" customHeight="1" s="15"/>
    <row r="33" ht="24" customHeight="1" s="15">
      <c r="B33" s="90" t="inlineStr">
        <is>
          <t>4. Key Deliverables</t>
        </is>
      </c>
    </row>
    <row r="34" ht="21.75" customHeight="1" s="15">
      <c r="B34" s="38" t="inlineStr">
        <is>
          <t>Strategy &amp; Research</t>
        </is>
      </c>
      <c r="C34" s="48" t="inlineStr">
        <is>
          <t>Vision, market research, competitor UI review, problem framing, and QA domain research.</t>
        </is>
      </c>
    </row>
    <row r="35" ht="21.75" customHeight="1" s="15">
      <c r="B35" s="40" t="inlineStr">
        <is>
          <t>Specifications &amp; Design</t>
        </is>
      </c>
      <c r="C35" s="49" t="inlineStr">
        <is>
          <t>PRD/ERD evolution, 41-frame PM1 design system, UI tokens, and navigation contracts.</t>
        </is>
      </c>
    </row>
    <row r="36" ht="21.75" customHeight="1" s="15">
      <c r="B36" s="38" t="inlineStr">
        <is>
          <t>Roadmap &amp; Milestones</t>
        </is>
      </c>
      <c r="C36" s="48" t="inlineStr">
        <is>
          <t>M0-M18 milestone planning, PM4 initiative charters, registry, close reports, and delivery gates.</t>
        </is>
      </c>
    </row>
    <row r="37" ht="21.75" customHeight="1" s="15">
      <c r="B37" s="40" t="inlineStr">
        <is>
          <t>Development</t>
        </is>
      </c>
      <c r="C37" s="49" t="inlineStr">
        <is>
          <t>Frontend/backend implementation, CI/CD gates, RBAC sweep, onboarding flows, fixes, and release artifacts.</t>
        </is>
      </c>
    </row>
    <row r="38" ht="21.75" customHeight="1" s="15">
      <c r="B38" s="38" t="inlineStr">
        <is>
          <t>Token Management</t>
        </is>
      </c>
      <c r="C38" s="48" t="inlineStr">
        <is>
          <t>Memory-injection/context-preload savings tracking, daily token rollups, and explicit data-quality notes.</t>
        </is>
      </c>
    </row>
    <row r="40" ht="7.5" customHeight="1" s="15"/>
    <row r="41" ht="24" customHeight="1" s="15">
      <c r="B41" s="90" t="inlineStr">
        <is>
          <t>5. Cost Posture</t>
        </is>
      </c>
    </row>
    <row r="42" ht="27.75" customHeight="1" s="15">
      <c r="B42" s="19" t="inlineStr">
        <is>
          <t>Every infrastructure component runs on free-tier hosting confirmed at $0/month: Cloudflare Pages (frontend, unlimited bandwidth) + Render Hobby (NestJS API, 750 hr/mo) + Neon Postgres (0.5 GB, currently ~2% used) + Cloudflare R2 (10 GB storage) + Resend (3,000 emails/mo) + Groq API (1k RPD primary + 14.4k RPD fast) + Grafana Cloud (observability) + Better Stack (alerting) + UptimeRobot (keep-alive). Total monthly spend confirmed: $0.00.</t>
        </is>
      </c>
    </row>
    <row r="43" ht="27.75" customHeight="1" s="15"/>
    <row r="44" ht="27.75" customHeight="1" s="15"/>
    <row r="45" ht="7.5" customHeight="1" s="15"/>
    <row r="46" ht="24" customHeight="1" s="15">
      <c r="B46" s="90" t="inlineStr">
        <is>
          <t>6. Milestone Progress</t>
        </is>
      </c>
    </row>
    <row r="47" ht="27.75" customHeight="1" s="15">
      <c r="B47" s="19" t="inlineStr">
        <is>
          <t>M0 Setup (target 2026-05-10): Completed with 102 commits, 17 PASS / 0 FAIL / 2 DEFERRED to M1.5. Day 0-1 closed P0 critical-path work — schema, F06 Sign In, F07 Onboarding, hooks, CI. M1 (closed 2026-05-05): RBAC sweep 54/54 pass, 47 PRs merged, 358 tests, 21/41 frames complete. Currently on track for M2 delivery.</t>
        </is>
      </c>
    </row>
    <row r="48" ht="27.75" customHeight="1" s="15"/>
    <row r="49" ht="27.75" customHeight="1" s="15"/>
  </sheetData>
  <mergeCells count="17">
    <mergeCell ref="E12:F12"/>
    <mergeCell ref="E16:F16"/>
    <mergeCell ref="B2:F2"/>
    <mergeCell ref="E15:F15"/>
    <mergeCell ref="C35:F35"/>
    <mergeCell ref="E18:F18"/>
    <mergeCell ref="C34:F34"/>
    <mergeCell ref="B47:F49"/>
    <mergeCell ref="B3:F3"/>
    <mergeCell ref="B6:F9"/>
    <mergeCell ref="C38:F38"/>
    <mergeCell ref="B42:F44"/>
    <mergeCell ref="E13:F13"/>
    <mergeCell ref="E14:F14"/>
    <mergeCell ref="E17:F17"/>
    <mergeCell ref="C37:F37"/>
    <mergeCell ref="C36:F36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8"/>
  <sheetViews>
    <sheetView showGridLines="0" workbookViewId="0">
      <selection activeCell="A1" sqref="A1"/>
    </sheetView>
  </sheetViews>
  <sheetFormatPr baseColWidth="8" defaultColWidth="8.6796875" defaultRowHeight="16.8" outlineLevelRow="7"/>
  <cols>
    <col width="3" customWidth="1" style="15" min="1" max="1"/>
    <col width="14" customWidth="1" style="15" min="2" max="2"/>
    <col width="12" customWidth="1" style="15" min="3" max="3"/>
    <col width="22" customWidth="1" style="15" min="4" max="4"/>
    <col width="12" customWidth="1" style="15" min="5" max="6"/>
    <col width="42" customWidth="1" style="15" min="7" max="7"/>
    <col width="50" customWidth="1" style="15" min="8" max="8"/>
  </cols>
  <sheetData>
    <row r="2" ht="31.5" customHeight="1" s="15">
      <c r="B2" s="1" t="inlineStr">
        <is>
          <t>Idea Confirmation — Session Evidence</t>
        </is>
      </c>
    </row>
    <row r="3" ht="27.75" customHeight="1" s="15">
      <c r="B3" s="2" t="inlineStr">
        <is>
          <t>Phase 1 — vision, market research, problem statement, solution design, mockups, competitive analysis, flow diagrams.</t>
        </is>
      </c>
    </row>
    <row r="5" ht="24" customHeight="1" s="15">
      <c r="B5" s="3" t="inlineStr">
        <is>
          <t>Date</t>
        </is>
      </c>
      <c r="C5" s="3" t="inlineStr">
        <is>
          <t>Day</t>
        </is>
      </c>
      <c r="D5" s="4" t="inlineStr">
        <is>
          <t>Timing</t>
        </is>
      </c>
      <c r="E5" s="4" t="inlineStr">
        <is>
          <t>Hours</t>
        </is>
      </c>
      <c r="F5" s="3" t="inlineStr">
        <is>
          <t>Files</t>
        </is>
      </c>
      <c r="G5" s="3" t="inlineStr">
        <is>
          <t>Evidence / Theme</t>
        </is>
      </c>
      <c r="H5" s="3" t="inlineStr">
        <is>
          <t>What I Did</t>
        </is>
      </c>
    </row>
    <row r="6" ht="19.5" customHeight="1" s="15">
      <c r="B6" s="5" t="inlineStr">
        <is>
          <t>2026-04-20</t>
        </is>
      </c>
      <c r="C6" s="5" t="inlineStr">
        <is>
          <t>Monday</t>
        </is>
      </c>
      <c r="D6" s="6" t="inlineStr">
        <is>
          <t>10:28 PM – 10:28 PM</t>
        </is>
      </c>
      <c r="E6" s="11" t="n">
        <v>0.5</v>
      </c>
      <c r="F6" s="5" t="n">
        <v>1</v>
      </c>
      <c r="G6" s="5" t="inlineStr">
        <is>
          <t>QA_Nexus_Brainstorm.md</t>
        </is>
      </c>
      <c r="H6" s="5" t="n"/>
    </row>
    <row r="7" ht="19.5" customHeight="1" s="15">
      <c r="B7" s="7" t="inlineStr">
        <is>
          <t>2026-04-17</t>
        </is>
      </c>
      <c r="C7" s="7" t="inlineStr">
        <is>
          <t>Friday</t>
        </is>
      </c>
      <c r="D7" s="8" t="inlineStr">
        <is>
          <t>8:22 PM – 11:30 PM</t>
        </is>
      </c>
      <c r="E7" s="12" t="n">
        <v>3.37</v>
      </c>
      <c r="F7" s="7" t="n">
        <v>14</v>
      </c>
      <c r="G7" s="7" t="inlineStr">
        <is>
          <t>QA_Roles_Documents_Reference_Guide.md · QA_Nexus_Platform_Vision.md · problem-landscape.drawio</t>
        </is>
      </c>
      <c r="H7" s="7" t="n"/>
    </row>
    <row r="8" ht="24" customHeight="1" s="15">
      <c r="B8" s="37" t="inlineStr">
        <is>
          <t>GRAND TOTAL</t>
        </is>
      </c>
      <c r="C8" s="54" t="n"/>
      <c r="D8" s="54" t="n"/>
      <c r="E8" s="13">
        <f>SUM(E6:E7)</f>
        <v/>
      </c>
      <c r="F8" s="14">
        <f>SUM(F6:F7)</f>
        <v/>
      </c>
      <c r="G8" s="54" t="n"/>
      <c r="H8" s="54" t="n"/>
    </row>
  </sheetData>
  <mergeCells count="2">
    <mergeCell ref="B3:H3"/>
    <mergeCell ref="B2:H2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9"/>
  <sheetViews>
    <sheetView showGridLines="0" workbookViewId="0">
      <selection activeCell="G8" sqref="G8"/>
    </sheetView>
  </sheetViews>
  <sheetFormatPr baseColWidth="8" defaultColWidth="8.6796875" defaultRowHeight="16.8"/>
  <cols>
    <col width="3" customWidth="1" style="15" min="1" max="1"/>
    <col width="14" customWidth="1" style="15" min="2" max="2"/>
    <col width="12" customWidth="1" style="15" min="3" max="3"/>
    <col width="22" customWidth="1" style="15" min="4" max="4"/>
    <col width="12" customWidth="1" style="15" min="5" max="6"/>
    <col width="42" customWidth="1" style="15" min="7" max="7"/>
    <col width="50" customWidth="1" style="15" min="8" max="8"/>
  </cols>
  <sheetData>
    <row r="2" ht="31.5" customHeight="1" s="15">
      <c r="B2" s="1" t="inlineStr">
        <is>
          <t>Test Case Management Research — Session Evidence</t>
        </is>
      </c>
    </row>
    <row r="3" ht="27.75" customHeight="1" s="15">
      <c r="B3" s="2" t="inlineStr">
        <is>
          <t>Phase 2 — test management &amp; optimization, test reporting &amp; analytics, automation/Playwright research, brainstorm, UI/UX design doc.</t>
        </is>
      </c>
    </row>
    <row r="5" ht="24" customHeight="1" s="15">
      <c r="B5" s="3" t="inlineStr">
        <is>
          <t>Date</t>
        </is>
      </c>
      <c r="C5" s="3" t="inlineStr">
        <is>
          <t>Day</t>
        </is>
      </c>
      <c r="D5" s="4" t="inlineStr">
        <is>
          <t>Timing</t>
        </is>
      </c>
      <c r="E5" s="4" t="inlineStr">
        <is>
          <t>Hours</t>
        </is>
      </c>
      <c r="F5" s="3" t="inlineStr">
        <is>
          <t>Files</t>
        </is>
      </c>
      <c r="G5" s="3" t="inlineStr">
        <is>
          <t>Evidence / Theme</t>
        </is>
      </c>
      <c r="H5" s="3" t="inlineStr">
        <is>
          <t>What I Did</t>
        </is>
      </c>
    </row>
    <row r="6" ht="19.5" customHeight="1" s="15">
      <c r="B6" s="5" t="inlineStr">
        <is>
          <t>2026-04-20</t>
        </is>
      </c>
      <c r="C6" s="5" t="inlineStr">
        <is>
          <t>Monday</t>
        </is>
      </c>
      <c r="D6" s="6" t="inlineStr">
        <is>
          <t>8:21 PM – 8:21 PM</t>
        </is>
      </c>
      <c r="E6" s="11" t="n">
        <v>0.5</v>
      </c>
      <c r="F6" s="5" t="n">
        <v>1</v>
      </c>
      <c r="G6" s="5" t="inlineStr">
        <is>
          <t>brainstorm.md</t>
        </is>
      </c>
      <c r="H6" s="5" t="n"/>
    </row>
    <row r="7" ht="19.5" customHeight="1" s="15">
      <c r="B7" s="7" t="inlineStr">
        <is>
          <t>2026-04-18</t>
        </is>
      </c>
      <c r="C7" s="7" t="inlineStr">
        <is>
          <t>Saturday</t>
        </is>
      </c>
      <c r="D7" s="8" t="inlineStr">
        <is>
          <t>11:47 AM – 12:10 PM</t>
        </is>
      </c>
      <c r="E7" s="12" t="n">
        <v>0.63</v>
      </c>
      <c r="F7" s="7" t="n">
        <v>12</v>
      </c>
      <c r="G7" s="7" t="inlineStr">
        <is>
          <t>01_Test_Management_and_Optimization.md · 02_Test_Reporting_and_Analytics.md · 03_Automation_Playwright.md</t>
        </is>
      </c>
      <c r="H7" s="7" t="n"/>
    </row>
    <row r="8" ht="19.5" customHeight="1" s="15">
      <c r="B8" s="5" t="inlineStr">
        <is>
          <t>2026-04-18</t>
        </is>
      </c>
      <c r="C8" s="5" t="inlineStr">
        <is>
          <t>Saturday</t>
        </is>
      </c>
      <c r="D8" s="6" t="inlineStr">
        <is>
          <t>7:37 PM – 7:54 PM</t>
        </is>
      </c>
      <c r="E8" s="11" t="n">
        <v>0.53</v>
      </c>
      <c r="F8" s="5" t="n">
        <v>8</v>
      </c>
      <c r="G8" s="5" t="inlineStr">
        <is>
          <t>COMPETITOR_UI_RESEARCH.md · CONTEXTQA_ANALYSIS.md · DESIGN_INSPIRATION.md</t>
        </is>
      </c>
      <c r="H8" s="5" t="n"/>
    </row>
    <row r="9" ht="24" customHeight="1" s="15">
      <c r="B9" s="37" t="inlineStr">
        <is>
          <t>GRAND TOTAL</t>
        </is>
      </c>
      <c r="C9" s="54" t="n"/>
      <c r="D9" s="54" t="n"/>
      <c r="E9" s="13">
        <f>SUM(E6:E8)</f>
        <v/>
      </c>
      <c r="F9" s="14">
        <f>SUM(F6:F8)</f>
        <v/>
      </c>
      <c r="G9" s="54" t="n"/>
      <c r="H9" s="54" t="n"/>
    </row>
  </sheetData>
  <mergeCells count="2">
    <mergeCell ref="B3:H3"/>
    <mergeCell ref="B2:H2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8"/>
  <sheetViews>
    <sheetView showGridLines="0" topLeftCell="A9" workbookViewId="0">
      <selection activeCell="A1" sqref="A1"/>
    </sheetView>
  </sheetViews>
  <sheetFormatPr baseColWidth="8" defaultColWidth="8.6796875" defaultRowHeight="16.8" outlineLevelRow="7"/>
  <cols>
    <col width="3" customWidth="1" style="15" min="1" max="1"/>
    <col width="14" customWidth="1" style="15" min="2" max="2"/>
    <col width="12" customWidth="1" style="15" min="3" max="3"/>
    <col width="22" customWidth="1" style="15" min="4" max="4"/>
    <col width="12" customWidth="1" style="15" min="5" max="6"/>
    <col width="42" customWidth="1" style="15" min="7" max="7"/>
    <col width="50" customWidth="1" style="15" min="8" max="8"/>
  </cols>
  <sheetData>
    <row r="2" ht="31.5" customHeight="1" s="15">
      <c r="B2" s="1" t="inlineStr">
        <is>
          <t>Test Automation &amp; Reporting — Session Evidence</t>
        </is>
      </c>
    </row>
    <row r="3" ht="27.75" customHeight="1" s="15">
      <c r="B3" s="2" t="inlineStr">
        <is>
          <t>Phase 3 — BrowserStack AI Agents research + masterclass video transcription + Word doc finalisation.</t>
        </is>
      </c>
    </row>
    <row r="5" ht="24" customHeight="1" s="15">
      <c r="B5" s="3" t="inlineStr">
        <is>
          <t>Date</t>
        </is>
      </c>
      <c r="C5" s="3" t="inlineStr">
        <is>
          <t>Day</t>
        </is>
      </c>
      <c r="D5" s="4" t="inlineStr">
        <is>
          <t>Timing</t>
        </is>
      </c>
      <c r="E5" s="4" t="inlineStr">
        <is>
          <t>Hours</t>
        </is>
      </c>
      <c r="F5" s="3" t="inlineStr">
        <is>
          <t>Files</t>
        </is>
      </c>
      <c r="G5" s="3" t="inlineStr">
        <is>
          <t>Evidence / Theme</t>
        </is>
      </c>
      <c r="H5" s="3" t="inlineStr">
        <is>
          <t>What I Did</t>
        </is>
      </c>
    </row>
    <row r="6" ht="19.5" customHeight="1" s="15">
      <c r="B6" s="5" t="inlineStr">
        <is>
          <t>2026-04-27</t>
        </is>
      </c>
      <c r="C6" s="5" t="inlineStr">
        <is>
          <t>Monday</t>
        </is>
      </c>
      <c r="D6" s="6" t="inlineStr">
        <is>
          <t>9:44 PM – 10:10 PM</t>
        </is>
      </c>
      <c r="E6" s="11" t="n">
        <v>0.68</v>
      </c>
      <c r="F6" s="5" t="n">
        <v>3</v>
      </c>
      <c r="G6" s="5" t="inlineStr">
        <is>
          <t>BrowserStack AI Agents — Document Finalisation</t>
        </is>
      </c>
      <c r="H6" s="5" t="n"/>
    </row>
    <row r="7" ht="19.5" customHeight="1" s="15">
      <c r="B7" s="7" t="inlineStr">
        <is>
          <t>2026-04-18</t>
        </is>
      </c>
      <c r="C7" s="7" t="inlineStr">
        <is>
          <t>Saturday</t>
        </is>
      </c>
      <c r="D7" s="8" t="inlineStr">
        <is>
          <t>9:31 AM – 10:36 AM</t>
        </is>
      </c>
      <c r="E7" s="12" t="n">
        <v>1.33</v>
      </c>
      <c r="F7" s="7" t="n">
        <v>15</v>
      </c>
      <c r="G7" s="7" t="inlineStr">
        <is>
          <t>BrowserStack AI Agents Research &amp; Documentation</t>
        </is>
      </c>
      <c r="H7" s="7" t="n"/>
    </row>
    <row r="8" ht="24" customHeight="1" s="15">
      <c r="B8" s="37" t="inlineStr">
        <is>
          <t>GRAND TOTAL</t>
        </is>
      </c>
      <c r="C8" s="54" t="n"/>
      <c r="D8" s="54" t="n"/>
      <c r="E8" s="13">
        <f>SUM(E6:E7)</f>
        <v/>
      </c>
      <c r="F8" s="14">
        <f>SUM(F6:F7)</f>
        <v/>
      </c>
      <c r="G8" s="54" t="n"/>
      <c r="H8" s="54" t="n"/>
    </row>
  </sheetData>
  <mergeCells count="2">
    <mergeCell ref="B3:H3"/>
    <mergeCell ref="B2:H2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0" workbookViewId="0">
      <selection activeCell="A1" sqref="A1"/>
    </sheetView>
  </sheetViews>
  <sheetFormatPr baseColWidth="8" defaultColWidth="8.6796875" defaultRowHeight="16.8"/>
  <cols>
    <col width="3" customWidth="1" style="15" min="1" max="1"/>
    <col width="14" customWidth="1" style="15" min="2" max="2"/>
    <col width="12" customWidth="1" style="15" min="3" max="3"/>
    <col width="22" customWidth="1" style="15" min="4" max="4"/>
    <col width="12" customWidth="1" style="15" min="5" max="6"/>
    <col width="42" customWidth="1" style="15" min="7" max="7"/>
    <col width="50" customWidth="1" style="15" min="8" max="8"/>
  </cols>
  <sheetData>
    <row r="2" ht="31.5" customHeight="1" s="15">
      <c r="B2" s="1" t="inlineStr">
        <is>
          <t>Design &amp; Specifications — Session Evidence</t>
        </is>
      </c>
    </row>
    <row r="3" ht="27.75" customHeight="1" s="15">
      <c r="B3" s="2" t="inlineStr">
        <is>
          <t>Phase 4 — PRD V4-V6 (Blueprint Forge), ERD (full data model), 41 PM1 UI v2 locked HTML frames, master brainstorm, project analysis, tech stack research.</t>
        </is>
      </c>
    </row>
    <row r="5" ht="24" customHeight="1" s="15">
      <c r="B5" s="3" t="inlineStr">
        <is>
          <t>Date</t>
        </is>
      </c>
      <c r="C5" s="3" t="inlineStr">
        <is>
          <t>Day</t>
        </is>
      </c>
      <c r="D5" s="4" t="inlineStr">
        <is>
          <t>Timing</t>
        </is>
      </c>
      <c r="E5" s="4" t="inlineStr">
        <is>
          <t>Hours</t>
        </is>
      </c>
      <c r="F5" s="3" t="inlineStr">
        <is>
          <t>Files</t>
        </is>
      </c>
      <c r="G5" s="3" t="inlineStr">
        <is>
          <t>Evidence / Theme</t>
        </is>
      </c>
      <c r="H5" s="3" t="inlineStr">
        <is>
          <t>What I Did</t>
        </is>
      </c>
    </row>
    <row r="6" ht="19.5" customHeight="1" s="15">
      <c r="B6" s="5" t="inlineStr">
        <is>
          <t>2026-04-27</t>
        </is>
      </c>
      <c r="C6" s="5" t="inlineStr">
        <is>
          <t>Monday</t>
        </is>
      </c>
      <c r="D6" s="6" t="inlineStr">
        <is>
          <t>10:35 AM – 10:49 AM</t>
        </is>
      </c>
      <c r="E6" s="11" t="n">
        <v>0.5</v>
      </c>
      <c r="F6" s="5" t="n">
        <v>153</v>
      </c>
      <c r="G6" s="5" t="inlineStr">
        <is>
          <t>QA_Nexus_Tech_Stack.docx · ERD.docx · ERD.drawio</t>
        </is>
      </c>
      <c r="H6" s="5" t="n"/>
    </row>
    <row r="7" ht="19.5" customHeight="1" s="15">
      <c r="B7" s="7" t="inlineStr">
        <is>
          <t>2026-04-26</t>
        </is>
      </c>
      <c r="C7" s="7" t="inlineStr">
        <is>
          <t>Sunday</t>
        </is>
      </c>
      <c r="D7" s="8" t="inlineStr">
        <is>
          <t>2:40 PM – 2:42 PM</t>
        </is>
      </c>
      <c r="E7" s="12" t="n">
        <v>0.5</v>
      </c>
      <c r="F7" s="7" t="n">
        <v>4</v>
      </c>
      <c r="G7" s="7" t="inlineStr">
        <is>
          <t>PRD.md · PRD.md · ERD.md</t>
        </is>
      </c>
      <c r="H7" s="7" t="n"/>
    </row>
    <row r="8" ht="19.5" customHeight="1" s="15">
      <c r="B8" s="5" t="inlineStr">
        <is>
          <t>2026-04-26</t>
        </is>
      </c>
      <c r="C8" s="5" t="inlineStr">
        <is>
          <t>Sunday</t>
        </is>
      </c>
      <c r="D8" s="6" t="inlineStr">
        <is>
          <t>3:57 PM – 3:58 PM</t>
        </is>
      </c>
      <c r="E8" s="11" t="n">
        <v>0.5</v>
      </c>
      <c r="F8" s="5" t="n">
        <v>2</v>
      </c>
      <c r="G8" s="5" t="inlineStr">
        <is>
          <t>PM1_ERD.md · PM1_ERD.md</t>
        </is>
      </c>
      <c r="H8" s="5" t="n"/>
    </row>
    <row r="9" ht="19.5" customHeight="1" s="15">
      <c r="B9" s="7" t="inlineStr">
        <is>
          <t>2026-04-26</t>
        </is>
      </c>
      <c r="C9" s="7" t="inlineStr">
        <is>
          <t>Sunday</t>
        </is>
      </c>
      <c r="D9" s="8" t="inlineStr">
        <is>
          <t>8:43 PM – 8:44 PM</t>
        </is>
      </c>
      <c r="E9" s="12" t="n">
        <v>0.5</v>
      </c>
      <c r="F9" s="7" t="n">
        <v>5</v>
      </c>
      <c r="G9" s="7" t="inlineStr">
        <is>
          <t>PM1_PRD.md · CLAUDE_KICKOFF_PROMPT.md · 01_SYSTEM.md</t>
        </is>
      </c>
      <c r="H9" s="7" t="n"/>
    </row>
    <row r="10" ht="19.5" customHeight="1" s="15">
      <c r="B10" s="5" t="inlineStr">
        <is>
          <t>2026-04-25</t>
        </is>
      </c>
      <c r="C10" s="5" t="inlineStr">
        <is>
          <t>Saturday</t>
        </is>
      </c>
      <c r="D10" s="6" t="inlineStr">
        <is>
          <t>8:26 AM – 8:26 AM</t>
        </is>
      </c>
      <c r="E10" s="11" t="n">
        <v>0.5</v>
      </c>
      <c r="F10" s="5" t="n">
        <v>2</v>
      </c>
      <c r="G10" s="5" t="inlineStr">
        <is>
          <t>F14m3 Convert to Jira Story Modal.html · F14m3 Convert to Jira Story Modal.html</t>
        </is>
      </c>
      <c r="H10" s="5" t="n"/>
    </row>
    <row r="11" ht="19.5" customHeight="1" s="15">
      <c r="B11" s="7" t="inlineStr">
        <is>
          <t>2026-04-25</t>
        </is>
      </c>
      <c r="C11" s="7" t="inlineStr">
        <is>
          <t>Saturday</t>
        </is>
      </c>
      <c r="D11" s="8" t="inlineStr">
        <is>
          <t>9:21 PM – 10:43 PM</t>
        </is>
      </c>
      <c r="E11" s="12" t="n">
        <v>1.62</v>
      </c>
      <c r="F11" s="7" t="n">
        <v>20</v>
      </c>
      <c r="G11" s="7" t="inlineStr">
        <is>
          <t>QA_Nexus_Master_Brainstorm.md · QA_Nexus_Master_Brainstorm.md · project_analysis.md</t>
        </is>
      </c>
      <c r="H11" s="7" t="n"/>
    </row>
    <row r="12" ht="19.5" customHeight="1" s="15">
      <c r="B12" s="5" t="inlineStr">
        <is>
          <t>2026-04-25</t>
        </is>
      </c>
      <c r="C12" s="5" t="inlineStr">
        <is>
          <t>Saturday</t>
        </is>
      </c>
      <c r="D12" s="6" t="inlineStr">
        <is>
          <t>9:41 AM – 12:43 PM</t>
        </is>
      </c>
      <c r="E12" s="11" t="n">
        <v>3.27</v>
      </c>
      <c r="F12" s="5" t="n">
        <v>26</v>
      </c>
      <c r="G12" s="5" t="inlineStr">
        <is>
          <t>F15 Knowledge Base.html · F15 Knowledge Base.html · F16a Test Case Method Chooser.html</t>
        </is>
      </c>
      <c r="H12" s="5" t="n"/>
    </row>
    <row r="13" ht="19.5" customHeight="1" s="15">
      <c r="B13" s="7" t="inlineStr">
        <is>
          <t>2026-04-24</t>
        </is>
      </c>
      <c r="C13" s="7" t="inlineStr">
        <is>
          <t>Friday</t>
        </is>
      </c>
      <c r="D13" s="8" t="inlineStr">
        <is>
          <t>11:11 PM – 12:12 AM</t>
        </is>
      </c>
      <c r="E13" s="12" t="n">
        <v>1.27</v>
      </c>
      <c r="F13" s="7" t="n">
        <v>16</v>
      </c>
      <c r="G13" s="7" t="inlineStr">
        <is>
          <t>F06b Set Reset Password.html · F06b Set Reset Password.html · F06c Reset Password.html</t>
        </is>
      </c>
      <c r="H13" s="7" t="n"/>
    </row>
    <row r="14" ht="19.5" customHeight="1" s="15">
      <c r="B14" s="5" t="inlineStr">
        <is>
          <t>2026-04-24</t>
        </is>
      </c>
      <c r="C14" s="5" t="inlineStr">
        <is>
          <t>Friday</t>
        </is>
      </c>
      <c r="D14" s="6" t="inlineStr">
        <is>
          <t>11:51 AM – 12:28 PM</t>
        </is>
      </c>
      <c r="E14" s="11" t="n">
        <v>0.87</v>
      </c>
      <c r="F14" s="5" t="n">
        <v>16</v>
      </c>
      <c r="G14" s="5" t="inlineStr">
        <is>
          <t>01-home.html · 02-test-cases.html · 03-ai-generator.html</t>
        </is>
      </c>
      <c r="H14" s="5" t="n"/>
    </row>
    <row r="15" ht="19.5" customHeight="1" s="15">
      <c r="B15" s="7" t="inlineStr">
        <is>
          <t>2026-04-24</t>
        </is>
      </c>
      <c r="C15" s="7" t="inlineStr">
        <is>
          <t>Friday</t>
        </is>
      </c>
      <c r="D15" s="8" t="inlineStr">
        <is>
          <t>6:05 PM – 6:23 PM</t>
        </is>
      </c>
      <c r="E15" s="12" t="n">
        <v>0.55</v>
      </c>
      <c r="F15" s="7" t="n">
        <v>36</v>
      </c>
      <c r="G15" s="7" t="inlineStr">
        <is>
          <t>F07 First-Run Onboarding.html · F07 First-Run Onboarding.html · F06 Sign In.html</t>
        </is>
      </c>
      <c r="H15" s="7" t="n"/>
    </row>
    <row r="16" ht="19.5" customHeight="1" s="15">
      <c r="B16" s="5" t="inlineStr">
        <is>
          <t>2026-04-24</t>
        </is>
      </c>
      <c r="C16" s="5" t="inlineStr">
        <is>
          <t>Friday</t>
        </is>
      </c>
      <c r="D16" s="6" t="inlineStr">
        <is>
          <t>7:54 PM – 8:27 PM</t>
        </is>
      </c>
      <c r="E16" s="11" t="n">
        <v>0.8</v>
      </c>
      <c r="F16" s="5" t="n">
        <v>4</v>
      </c>
      <c r="G16" s="5" t="inlineStr">
        <is>
          <t>05_ANALYSE_AND_GOVERN.md · 05_ANALYSE_AND_GOVERN.md · 02_ENTRY_AND_HOME.md</t>
        </is>
      </c>
      <c r="H16" s="5" t="n"/>
    </row>
    <row r="17" ht="19.5" customHeight="1" s="15">
      <c r="B17" s="7" t="inlineStr">
        <is>
          <t>2026-04-24</t>
        </is>
      </c>
      <c r="C17" s="7" t="inlineStr">
        <is>
          <t>Friday</t>
        </is>
      </c>
      <c r="D17" s="8" t="inlineStr">
        <is>
          <t>9:51 PM – 9:51 PM</t>
        </is>
      </c>
      <c r="E17" s="12" t="n">
        <v>0.5</v>
      </c>
      <c r="F17" s="7" t="n">
        <v>2</v>
      </c>
      <c r="G17" s="7" t="inlineStr">
        <is>
          <t>PROJECT_UI_DESIGN_TOKENS.json · PROJECT_UI_DESIGN_TOKENS.json</t>
        </is>
      </c>
      <c r="H17" s="7" t="n"/>
    </row>
    <row r="18" ht="19.5" customHeight="1" s="15">
      <c r="B18" s="5" t="inlineStr">
        <is>
          <t>2026-04-23</t>
        </is>
      </c>
      <c r="C18" s="5" t="inlineStr">
        <is>
          <t>Thursday</t>
        </is>
      </c>
      <c r="D18" s="6" t="inlineStr">
        <is>
          <t>10:30 AM – 10:30 AM</t>
        </is>
      </c>
      <c r="E18" s="11" t="n">
        <v>0.5</v>
      </c>
      <c r="F18" s="5" t="n">
        <v>1</v>
      </c>
      <c r="G18" s="5" t="inlineStr">
        <is>
          <t>MVP_PRD.md</t>
        </is>
      </c>
      <c r="H18" s="5" t="n"/>
    </row>
    <row r="19" ht="19.5" customHeight="1" s="15">
      <c r="B19" s="7" t="inlineStr">
        <is>
          <t>2026-04-23</t>
        </is>
      </c>
      <c r="C19" s="7" t="inlineStr">
        <is>
          <t>Thursday</t>
        </is>
      </c>
      <c r="D19" s="8" t="inlineStr">
        <is>
          <t>11:58 AM – 1:33 PM</t>
        </is>
      </c>
      <c r="E19" s="12" t="n">
        <v>1.82</v>
      </c>
      <c r="F19" s="7" t="n">
        <v>7</v>
      </c>
      <c r="G19" s="7" t="inlineStr">
        <is>
          <t>PROJECT_UI_UX_REDESIGN.md · PROJECT_UI_FRAME_MAP.md · PROJECT_UI_GENERATION_PROMPT.md</t>
        </is>
      </c>
      <c r="H19" s="7" t="n"/>
    </row>
    <row r="20" ht="19.5" customHeight="1" s="15">
      <c r="B20" s="5" t="inlineStr">
        <is>
          <t>2026-04-23</t>
        </is>
      </c>
      <c r="C20" s="5" t="inlineStr">
        <is>
          <t>Thursday</t>
        </is>
      </c>
      <c r="D20" s="6" t="inlineStr">
        <is>
          <t>2:54 PM – 2:54 PM</t>
        </is>
      </c>
      <c r="E20" s="11" t="n">
        <v>0.5</v>
      </c>
      <c r="F20" s="5" t="n">
        <v>53</v>
      </c>
      <c r="G20" s="5" t="inlineStr">
        <is>
          <t>code.html · screen.png · code.html</t>
        </is>
      </c>
      <c r="H20" s="5" t="n"/>
    </row>
    <row r="21" ht="19.5" customHeight="1" s="15">
      <c r="B21" s="7" t="inlineStr">
        <is>
          <t>2026-04-23</t>
        </is>
      </c>
      <c r="C21" s="7" t="inlineStr">
        <is>
          <t>Thursday</t>
        </is>
      </c>
      <c r="D21" s="8" t="inlineStr">
        <is>
          <t>5:59 PM – 6:18 PM</t>
        </is>
      </c>
      <c r="E21" s="12" t="n">
        <v>0.57</v>
      </c>
      <c r="F21" s="7" t="n">
        <v>29</v>
      </c>
      <c r="G21" s="7" t="inlineStr">
        <is>
          <t>NAVIGATION_CONTRACT.md · F06_Sign_In.md · F11_Source_Connect_Jira.md</t>
        </is>
      </c>
      <c r="H21" s="7" t="n"/>
    </row>
    <row r="22" ht="19.5" customHeight="1" s="15">
      <c r="B22" s="5" t="inlineStr">
        <is>
          <t>2026-04-23</t>
        </is>
      </c>
      <c r="C22" s="5" t="inlineStr">
        <is>
          <t>Thursday</t>
        </is>
      </c>
      <c r="D22" s="6" t="inlineStr">
        <is>
          <t>8:35 PM – 8:35 PM</t>
        </is>
      </c>
      <c r="E22" s="11" t="n">
        <v>0.5</v>
      </c>
      <c r="F22" s="5" t="n">
        <v>1</v>
      </c>
      <c r="G22" s="5" t="inlineStr">
        <is>
          <t>STITCH_DRIFT_AUDIT.md</t>
        </is>
      </c>
      <c r="H22" s="5" t="n"/>
    </row>
    <row r="23" ht="19.5" customHeight="1" s="15">
      <c r="B23" s="7" t="inlineStr">
        <is>
          <t>2026-04-22</t>
        </is>
      </c>
      <c r="C23" s="7" t="inlineStr">
        <is>
          <t>Wednesday</t>
        </is>
      </c>
      <c r="D23" s="8" t="inlineStr">
        <is>
          <t>10:27 PM – 10:27 PM</t>
        </is>
      </c>
      <c r="E23" s="12" t="n">
        <v>0.5</v>
      </c>
      <c r="F23" s="7" t="n">
        <v>2</v>
      </c>
      <c r="G23" s="7" t="inlineStr">
        <is>
          <t>ERD.drawio · ERD.drawio</t>
        </is>
      </c>
      <c r="H23" s="7" t="n"/>
    </row>
    <row r="24" ht="19.5" customHeight="1" s="15">
      <c r="B24" s="5" t="inlineStr">
        <is>
          <t>2026-04-22</t>
        </is>
      </c>
      <c r="C24" s="5" t="inlineStr">
        <is>
          <t>Wednesday</t>
        </is>
      </c>
      <c r="D24" s="6" t="inlineStr">
        <is>
          <t>8:16 PM – 8:16 PM</t>
        </is>
      </c>
      <c r="E24" s="11" t="n">
        <v>0.5</v>
      </c>
      <c r="F24" s="5" t="n">
        <v>2</v>
      </c>
      <c r="G24" s="5" t="inlineStr">
        <is>
          <t>generate_prd_docx.py · generate_prd_docx.py</t>
        </is>
      </c>
      <c r="H24" s="5" t="n"/>
    </row>
    <row r="25" ht="19.5" customHeight="1" s="15">
      <c r="B25" s="7" t="inlineStr">
        <is>
          <t>2026-04-21</t>
        </is>
      </c>
      <c r="C25" s="7" t="inlineStr">
        <is>
          <t>Tuesday</t>
        </is>
      </c>
      <c r="D25" s="8" t="inlineStr">
        <is>
          <t>11:06 AM – 11:06 AM</t>
        </is>
      </c>
      <c r="E25" s="12" t="n">
        <v>0.5</v>
      </c>
      <c r="F25" s="7" t="n">
        <v>14</v>
      </c>
      <c r="G25" s="7" t="inlineStr">
        <is>
          <t>goal_target_bar.png · goal_target_bar.png · priority_matrix.png</t>
        </is>
      </c>
      <c r="H25" s="7" t="n"/>
    </row>
    <row r="26" ht="19.5" customHeight="1" s="15">
      <c r="B26" s="5" t="inlineStr">
        <is>
          <t>2026-04-21</t>
        </is>
      </c>
      <c r="C26" s="5" t="inlineStr">
        <is>
          <t>Tuesday</t>
        </is>
      </c>
      <c r="D26" s="6" t="inlineStr">
        <is>
          <t>12:04 AM – 12:27 AM</t>
        </is>
      </c>
      <c r="E26" s="11" t="n">
        <v>0.62</v>
      </c>
      <c r="F26" s="5" t="n">
        <v>14</v>
      </c>
      <c r="G26" s="5" t="inlineStr">
        <is>
          <t>DESIGN.md · UI_PROMPT.md · PRD.drawio</t>
        </is>
      </c>
      <c r="H26" s="5" t="n"/>
    </row>
    <row r="27" ht="19.5" customHeight="1" s="15">
      <c r="B27" s="7" t="inlineStr">
        <is>
          <t>2026-04-20</t>
        </is>
      </c>
      <c r="C27" s="7" t="inlineStr">
        <is>
          <t>Monday</t>
        </is>
      </c>
      <c r="D27" s="8" t="inlineStr">
        <is>
          <t>9:22 PM – 9:22 PM</t>
        </is>
      </c>
      <c r="E27" s="12" t="n">
        <v>0.5</v>
      </c>
      <c r="F27" s="7" t="n">
        <v>1</v>
      </c>
      <c r="G27" s="7" t="inlineStr">
        <is>
          <t>wireframe.html</t>
        </is>
      </c>
      <c r="H27" s="7" t="n"/>
    </row>
    <row r="28" ht="24" customHeight="1" s="15">
      <c r="B28" s="37" t="inlineStr">
        <is>
          <t>GRAND TOTAL</t>
        </is>
      </c>
      <c r="C28" s="54" t="n"/>
      <c r="D28" s="54" t="n"/>
      <c r="E28" s="13">
        <f>SUM(E6:E27)</f>
        <v/>
      </c>
      <c r="F28" s="14">
        <f>SUM(F6:F27)</f>
        <v/>
      </c>
      <c r="G28" s="54" t="n"/>
      <c r="H28" s="54" t="n"/>
    </row>
  </sheetData>
  <mergeCells count="2">
    <mergeCell ref="B3:H3"/>
    <mergeCell ref="B2:H2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22"/>
  <sheetViews>
    <sheetView showGridLines="0" workbookViewId="0">
      <selection activeCell="A1" sqref="A1"/>
    </sheetView>
  </sheetViews>
  <sheetFormatPr baseColWidth="8" defaultColWidth="8.6796875" defaultRowHeight="16.8"/>
  <cols>
    <col width="3" customWidth="1" style="15" min="1" max="1"/>
    <col width="14" customWidth="1" style="15" min="2" max="2"/>
    <col width="12" customWidth="1" style="15" min="3" max="3"/>
    <col width="22" customWidth="1" style="15" min="4" max="4"/>
    <col width="12" customWidth="1" style="15" min="5" max="6"/>
    <col width="42" customWidth="1" style="15" min="7" max="7"/>
    <col width="50" customWidth="1" style="15" min="8" max="8"/>
  </cols>
  <sheetData>
    <row r="2" ht="31.5" customHeight="1" s="15">
      <c r="B2" s="1" t="inlineStr">
        <is>
          <t>Milestone Planning — Session Evidence</t>
        </is>
      </c>
    </row>
    <row r="3" ht="27.75" customHeight="1" s="15">
      <c r="B3" s="2" t="inlineStr">
        <is>
          <t>Phase 5 — M0-M18 milestone decomposition, MILESTONE_REGISTRY, PM4 initiative charters, sync reports, audit remediation waves.</t>
        </is>
      </c>
    </row>
    <row r="5" ht="24" customHeight="1" s="15">
      <c r="B5" s="3" t="inlineStr">
        <is>
          <t>Date</t>
        </is>
      </c>
      <c r="C5" s="3" t="inlineStr">
        <is>
          <t>Day</t>
        </is>
      </c>
      <c r="D5" s="4" t="inlineStr">
        <is>
          <t>Timing</t>
        </is>
      </c>
      <c r="E5" s="4" t="inlineStr">
        <is>
          <t>Hours</t>
        </is>
      </c>
      <c r="F5" s="3" t="inlineStr">
        <is>
          <t>Files</t>
        </is>
      </c>
      <c r="G5" s="3" t="inlineStr">
        <is>
          <t>Evidence / Theme</t>
        </is>
      </c>
      <c r="H5" s="3" t="inlineStr">
        <is>
          <t>What I Did</t>
        </is>
      </c>
    </row>
    <row r="6" ht="19.5" customHeight="1" s="15">
      <c r="B6" s="5" t="inlineStr">
        <is>
          <t>2026-05-05</t>
        </is>
      </c>
      <c r="C6" s="5" t="inlineStr">
        <is>
          <t>Tuesday</t>
        </is>
      </c>
      <c r="D6" s="6" t="inlineStr">
        <is>
          <t>10:00 AM – 1:00 PM</t>
        </is>
      </c>
      <c r="E6" s="11" t="n">
        <v>3</v>
      </c>
      <c r="F6" s="5" t="n">
        <v>8</v>
      </c>
      <c r="G6" s="5" t="inlineStr">
        <is>
          <t>M1 close ceremony</t>
        </is>
      </c>
      <c r="H6" s="5" t="inlineStr">
        <is>
          <t>M1 close ceremony — Day 9+10 combined. RBAC sweep 54/54 pass. Audit chain env-skip (no local DATABASE_URL). Filed m1-close-report.md (47 PRs, 358 tests, 21/41 frames, $0/month). Pushed tag m1-closed-2026-05-05. Posted m1-closed-announcement. Wrote Day-9+10-combined EOD report. PR #48 fix(web): f27 /admin/users 404 — users-api.ts relative URL fixed to NEXT_PUBLIC_API_BASE_URL (BE wiring was correct; FE bug). Bonus: better-auth pnpm hoist applied.</t>
        </is>
      </c>
    </row>
    <row r="7" ht="19.5" customHeight="1" s="15">
      <c r="B7" s="7" t="inlineStr">
        <is>
          <t>2026-05-03</t>
        </is>
      </c>
      <c r="C7" s="7" t="n"/>
      <c r="D7" s="8" t="n"/>
      <c r="E7" s="12" t="n">
        <v>7</v>
      </c>
      <c r="F7" s="7" t="n">
        <v>80</v>
      </c>
      <c r="G7" s="7" t="inlineStr">
        <is>
          <t>M0 close ceremony</t>
        </is>
      </c>
      <c r="H7" s="7" t="inlineStr">
        <is>
          <t>M0 close ceremony — Steps A-I + Step E. PRs #21+#22+#23+#24 squash-merged; PR #25 (FE M2) opened as Draft. Followups (t) closed via PR #24, (u)+(v) filed. CLAUDE.md Hard Rule #3 updated for 3-folder frame inventory post Claude Design v2 supersede. M0 completion report at docs/milestones/M0_completion_report.md. 4th halt-to-root-cause pattern codified (refined pre-merge gate: compare PR vs main, only NEW failures gate). 102 commits over M0 window, 17 PASS / 0 FAIL / 2 DEFERRED to M1.5. Final main HEAD 44b06ef.</t>
        </is>
      </c>
    </row>
    <row r="8" ht="19.5" customHeight="1" s="15">
      <c r="B8" s="5" t="inlineStr">
        <is>
          <t>2026-04-27</t>
        </is>
      </c>
      <c r="C8" s="5" t="inlineStr">
        <is>
          <t>Monday</t>
        </is>
      </c>
      <c r="D8" s="6" t="inlineStr">
        <is>
          <t>10:47 AM – 10:49 AM</t>
        </is>
      </c>
      <c r="E8" s="11" t="n">
        <v>0.5</v>
      </c>
      <c r="F8" s="5" t="n">
        <v>248</v>
      </c>
      <c r="G8" s="5" t="inlineStr">
        <is>
          <t>AUDIT_REMEDIATION_WAVE_3_REPORT.md · FINAL_REVIEW.md · FINAL_REVIEW_MVP_ARCHIVE.md</t>
        </is>
      </c>
      <c r="H8" s="5" t="n"/>
    </row>
    <row r="9" ht="19.5" customHeight="1" s="15">
      <c r="B9" s="7" t="inlineStr">
        <is>
          <t>2026-04-26</t>
        </is>
      </c>
      <c r="C9" s="7" t="inlineStr">
        <is>
          <t>Sunday</t>
        </is>
      </c>
      <c r="D9" s="8" t="inlineStr">
        <is>
          <t>3:45 PM – 3:45 PM</t>
        </is>
      </c>
      <c r="E9" s="12" t="n">
        <v>0.5</v>
      </c>
      <c r="F9" s="7" t="n">
        <v>1</v>
      </c>
      <c r="G9" s="7" t="inlineStr">
        <is>
          <t>Milestone_M0_Setup_v8.md</t>
        </is>
      </c>
      <c r="H9" s="7" t="n"/>
    </row>
    <row r="10" ht="19.5" customHeight="1" s="15">
      <c r="B10" s="5" t="inlineStr">
        <is>
          <t>2026-04-26</t>
        </is>
      </c>
      <c r="C10" s="5" t="inlineStr">
        <is>
          <t>Sunday</t>
        </is>
      </c>
      <c r="D10" s="6" t="inlineStr">
        <is>
          <t>5:52 PM – 5:53 PM</t>
        </is>
      </c>
      <c r="E10" s="11" t="n">
        <v>0.5</v>
      </c>
      <c r="F10" s="5" t="n">
        <v>2</v>
      </c>
      <c r="G10" s="5" t="inlineStr">
        <is>
          <t>Milestone_M5_Automation_Basic_Reports_MVP_Launch.md · Milestone_M5_Automation_Basic_Reports_MVP_Launch.md</t>
        </is>
      </c>
      <c r="H10" s="5" t="n"/>
    </row>
    <row r="11" ht="19.5" customHeight="1" s="15">
      <c r="B11" s="7" t="inlineStr">
        <is>
          <t>2026-04-26</t>
        </is>
      </c>
      <c r="C11" s="7" t="inlineStr">
        <is>
          <t>Sunday</t>
        </is>
      </c>
      <c r="D11" s="8" t="inlineStr">
        <is>
          <t>8:54 PM – 8:54 PM</t>
        </is>
      </c>
      <c r="E11" s="12" t="n">
        <v>0.5</v>
      </c>
      <c r="F11" s="7" t="n">
        <v>1</v>
      </c>
      <c r="G11" s="7" t="inlineStr">
        <is>
          <t>Milestone_M0_Setup_v8.md</t>
        </is>
      </c>
      <c r="H11" s="7" t="n"/>
    </row>
    <row r="12" ht="19.5" customHeight="1" s="15">
      <c r="B12" s="5" t="inlineStr">
        <is>
          <t>2026-04-25</t>
        </is>
      </c>
      <c r="C12" s="5" t="inlineStr">
        <is>
          <t>Saturday</t>
        </is>
      </c>
      <c r="D12" s="6" t="inlineStr">
        <is>
          <t>11:00 PM – 11:02 PM</t>
        </is>
      </c>
      <c r="E12" s="11" t="n">
        <v>0.5</v>
      </c>
      <c r="F12" s="5" t="n">
        <v>23</v>
      </c>
      <c r="G12" s="5" t="inlineStr">
        <is>
          <t>Milestone_M1_Users_Roles.md · Milestone_M1_Users_Roles.md · Milestone_M2_Docs_KB.md</t>
        </is>
      </c>
      <c r="H12" s="5" t="n"/>
    </row>
    <row r="13" ht="19.5" customHeight="1" s="15">
      <c r="B13" s="7" t="inlineStr">
        <is>
          <t>2026-04-25</t>
        </is>
      </c>
      <c r="C13" s="7" t="inlineStr">
        <is>
          <t>Saturday</t>
        </is>
      </c>
      <c r="D13" s="8" t="inlineStr">
        <is>
          <t>7:09 PM – 7:09 PM</t>
        </is>
      </c>
      <c r="E13" s="12" t="n">
        <v>0.5</v>
      </c>
      <c r="F13" s="7" t="n">
        <v>72</v>
      </c>
      <c r="G13" s="7" t="inlineStr">
        <is>
          <t>gantt.png · gantt.png · risk_heatmap.png</t>
        </is>
      </c>
      <c r="H13" s="7" t="n"/>
    </row>
    <row r="14" ht="19.5" customHeight="1" s="15">
      <c r="B14" s="5" t="inlineStr">
        <is>
          <t>2026-04-25</t>
        </is>
      </c>
      <c r="C14" s="5" t="inlineStr">
        <is>
          <t>Saturday</t>
        </is>
      </c>
      <c r="D14" s="6" t="inlineStr">
        <is>
          <t>9:22 PM – 9:32 PM</t>
        </is>
      </c>
      <c r="E14" s="11" t="n">
        <v>0.5</v>
      </c>
      <c r="F14" s="5" t="n">
        <v>6</v>
      </c>
      <c r="G14" s="5" t="inlineStr">
        <is>
          <t>Milestone_M0_Setup.md · Milestone_M0_Setup.md · Milestone_M0_Setup.md</t>
        </is>
      </c>
      <c r="H14" s="5" t="n"/>
    </row>
    <row r="15" ht="19.5" customHeight="1" s="15">
      <c r="B15" s="7" t="inlineStr">
        <is>
          <t>2026-04-24</t>
        </is>
      </c>
      <c r="C15" s="7" t="inlineStr">
        <is>
          <t>Friday</t>
        </is>
      </c>
      <c r="D15" s="8" t="inlineStr">
        <is>
          <t>3:41 PM – 3:41 PM</t>
        </is>
      </c>
      <c r="E15" s="12" t="n">
        <v>0.5</v>
      </c>
      <c r="F15" s="7" t="n">
        <v>2</v>
      </c>
      <c r="G15" s="7" t="inlineStr">
        <is>
          <t>Milestone_M17_Enterprise_Auth_Slack.md · Milestone_M17_Enterprise_Auth_Slack.md</t>
        </is>
      </c>
      <c r="H15" s="7" t="n"/>
    </row>
    <row r="16" ht="19.5" customHeight="1" s="15">
      <c r="B16" s="5" t="inlineStr">
        <is>
          <t>2026-04-24</t>
        </is>
      </c>
      <c r="C16" s="5" t="inlineStr">
        <is>
          <t>Friday</t>
        </is>
      </c>
      <c r="D16" s="6" t="inlineStr">
        <is>
          <t>7:40 PM – 7:40 PM</t>
        </is>
      </c>
      <c r="E16" s="11" t="n">
        <v>0.5</v>
      </c>
      <c r="F16" s="5" t="n">
        <v>2</v>
      </c>
      <c r="G16" s="5" t="inlineStr">
        <is>
          <t>MILESTONE_REGISTRY.md · MILESTONE_REGISTRY.md</t>
        </is>
      </c>
      <c r="H16" s="5" t="n"/>
    </row>
    <row r="17" ht="19.5" customHeight="1" s="15">
      <c r="B17" s="7" t="inlineStr">
        <is>
          <t>2026-04-23</t>
        </is>
      </c>
      <c r="C17" s="7" t="inlineStr">
        <is>
          <t>Thursday</t>
        </is>
      </c>
      <c r="D17" s="8" t="inlineStr">
        <is>
          <t>12:11 PM – 12:51 PM</t>
        </is>
      </c>
      <c r="E17" s="12" t="n">
        <v>0.92</v>
      </c>
      <c r="F17" s="7" t="n">
        <v>60</v>
      </c>
      <c r="G17" s="7" t="inlineStr">
        <is>
          <t>SYNC_REPORT_MVP_ARCHIVE.md · SYNC_REPORT_MVP_ARCHIVE.md · Milestone_M10_AI_Product_Tester.md</t>
        </is>
      </c>
      <c r="H17" s="7" t="n"/>
    </row>
    <row r="18" ht="19.5" customHeight="1" s="15">
      <c r="B18" s="5" t="inlineStr">
        <is>
          <t>2026-04-22</t>
        </is>
      </c>
      <c r="C18" s="5" t="inlineStr">
        <is>
          <t>Wednesday</t>
        </is>
      </c>
      <c r="D18" s="6" t="inlineStr">
        <is>
          <t>10:25 PM – 10:26 PM</t>
        </is>
      </c>
      <c r="E18" s="11" t="n">
        <v>0.5</v>
      </c>
      <c r="F18" s="5" t="n">
        <v>3</v>
      </c>
      <c r="G18" s="5" t="inlineStr">
        <is>
          <t>Milestone_M5_Automation_Basic_Reports_MVP_Launch.md · Milestone_M3_Test_Cases_AI.md · Milestone_M3_Test_Cases_AI.md</t>
        </is>
      </c>
      <c r="H18" s="5" t="n"/>
    </row>
    <row r="19" ht="19.5" customHeight="1" s="15">
      <c r="B19" s="7" t="inlineStr">
        <is>
          <t>2026-04-21</t>
        </is>
      </c>
      <c r="C19" s="7" t="inlineStr">
        <is>
          <t>Tuesday</t>
        </is>
      </c>
      <c r="D19" s="8" t="inlineStr">
        <is>
          <t>12:35 AM – 1:10 AM</t>
        </is>
      </c>
      <c r="E19" s="12" t="n">
        <v>0.82</v>
      </c>
      <c r="F19" s="7" t="n">
        <v>76</v>
      </c>
      <c r="G19" s="7" t="inlineStr">
        <is>
          <t>gantt.png · gantt.png · risk_heatmap.png</t>
        </is>
      </c>
      <c r="H19" s="7" t="n"/>
    </row>
    <row r="20" ht="64" customHeight="1" s="15">
      <c r="B20" s="100" t="n">
        <v>46148</v>
      </c>
      <c r="C20" s="101" t="inlineStr">
        <is>
          <t>Wednesday</t>
        </is>
      </c>
      <c r="D20" s="102" t="inlineStr">
        <is>
          <t>10:00 AM – 4:39 PM</t>
        </is>
      </c>
      <c r="E20" s="103" t="n">
        <v>6.65</v>
      </c>
      <c r="F20" s="101" t="n">
        <v>30</v>
      </c>
      <c r="G20" s="102" t="inlineStr">
        <is>
          <t>Day-11 M2 cascade + xlsx swap + Rule 14</t>
        </is>
      </c>
      <c r="H20" s="102" t="inlineStr">
        <is>
          <t>MAIN session: skill audit PR #50, ctx-discipline #54, compound-learnings backfill #56, professional xlsx swap with 26-row backfill #59, Hard Rule 14 codified #64, EOD MAIN section #65. Cascade through 75min GHA outage 13:30-14:45 IST. 13+ PRs auto-merged across MAIN/BE+1/FE+1.</t>
        </is>
      </c>
    </row>
    <row r="21" ht="64" customHeight="1" s="15">
      <c r="B21" s="100" t="n">
        <v>46149</v>
      </c>
      <c r="C21" s="101" t="inlineStr">
        <is>
          <t>Thursday</t>
        </is>
      </c>
      <c r="D21" s="102" t="inlineStr">
        <is>
          <t>06:50 AM – 5:00 PM</t>
        </is>
      </c>
      <c r="E21" s="103" t="n">
        <v>10.2</v>
      </c>
      <c r="F21" s="101" t="n">
        <v>18</v>
      </c>
      <c r="G21" s="102" t="inlineStr">
        <is>
          <t>Day-12 / M2 Close Ceremony — 2-day vs 4-day plan</t>
        </is>
      </c>
      <c r="H21" s="102" t="inlineStr">
        <is>
          <t>M2 closed 2 days ahead of plan (2x cadence). 16 PRs merged today across MAIN orchestration: morning Hard Rule 14 retrofit audit (#68), sessions-stream correlation hook (#76), Day-11 backfill (#67); afternoon BE/FE M2 cascade: prettier-write fix (#79) unblocking #77 #78; #78 BE M2 KB doc-create endpoint closes (al) blocker; #69 AdminShell v2 + #71 F13 flip + #80 F12 flip + #72 F15 flip merged in 16-min burst at 15:36-15:52 IST once visual-gate flags dropped; ceremony at 16:00-16:38 IST: close-gate sweep 69/69 ✅, audit chain env-skip documented, close report drafted (#81), tag m2-closed-2026-05-07 pushed at commit 498f206, EOD report drafted (#82). Carry-overs: (am) Rule 14 retrofit on F08+F09, (ae) embedding-spec direction call, Render staging Yogesh action, (ap) playwright cold-install cache.</t>
        </is>
      </c>
    </row>
    <row r="22">
      <c r="B22" s="37" t="inlineStr">
        <is>
          <t>GRAND TOTAL</t>
        </is>
      </c>
      <c r="C22" s="54" t="n"/>
      <c r="D22" s="54" t="n"/>
      <c r="E22" s="13">
        <f>SUM(E6:E21)</f>
        <v/>
      </c>
      <c r="F22" s="14">
        <f>SUM(F6:F21)</f>
        <v/>
      </c>
      <c r="G22" s="54" t="n"/>
      <c r="H22" s="54" t="n"/>
    </row>
  </sheetData>
  <mergeCells count="2">
    <mergeCell ref="B3:H3"/>
    <mergeCell ref="B2:H2"/>
  </mergeCell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H7"/>
  <sheetViews>
    <sheetView showGridLines="0" workbookViewId="0">
      <selection activeCell="A1" sqref="A1"/>
    </sheetView>
  </sheetViews>
  <sheetFormatPr baseColWidth="8" defaultColWidth="8.6796875" defaultRowHeight="16.8" outlineLevelRow="6"/>
  <cols>
    <col width="3" customWidth="1" style="15" min="1" max="1"/>
    <col width="14" customWidth="1" style="15" min="2" max="2"/>
    <col width="12" customWidth="1" style="15" min="3" max="3"/>
    <col width="22" customWidth="1" style="15" min="4" max="4"/>
    <col width="12" customWidth="1" style="15" min="5" max="6"/>
    <col width="42" customWidth="1" style="15" min="7" max="7"/>
    <col width="50" customWidth="1" style="15" min="8" max="8"/>
  </cols>
  <sheetData>
    <row r="2" ht="31.5" customHeight="1" s="15">
      <c r="B2" s="1" t="inlineStr">
        <is>
          <t>Launch Creative — Session Evidence</t>
        </is>
      </c>
    </row>
    <row r="3" ht="27.75" customHeight="1" s="15">
      <c r="B3" s="2" t="inlineStr">
        <is>
          <t>Phase 6 — animated stack visualisation (3 versions), LinkedIn poster PNG + PDF, MP4 launch video, launch post copy.</t>
        </is>
      </c>
    </row>
    <row r="5" ht="24" customHeight="1" s="15">
      <c r="B5" s="3" t="inlineStr">
        <is>
          <t>Date</t>
        </is>
      </c>
      <c r="C5" s="3" t="inlineStr">
        <is>
          <t>Day</t>
        </is>
      </c>
      <c r="D5" s="4" t="inlineStr">
        <is>
          <t>Timing</t>
        </is>
      </c>
      <c r="E5" s="4" t="inlineStr">
        <is>
          <t>Hours</t>
        </is>
      </c>
      <c r="F5" s="3" t="inlineStr">
        <is>
          <t>Files</t>
        </is>
      </c>
      <c r="G5" s="3" t="inlineStr">
        <is>
          <t>Evidence / Theme</t>
        </is>
      </c>
      <c r="H5" s="3" t="inlineStr">
        <is>
          <t>What I Did</t>
        </is>
      </c>
    </row>
    <row r="6" ht="19.5" customHeight="1" s="15">
      <c r="B6" s="5" t="inlineStr">
        <is>
          <t>2026-04-26</t>
        </is>
      </c>
      <c r="C6" s="5" t="inlineStr">
        <is>
          <t>Sunday</t>
        </is>
      </c>
      <c r="D6" s="6" t="inlineStr">
        <is>
          <t>1:17 PM – 2:17 PM</t>
        </is>
      </c>
      <c r="E6" s="11" t="n">
        <v>1.23</v>
      </c>
      <c r="F6" s="5" t="n">
        <v>9</v>
      </c>
      <c r="G6" s="5" t="inlineStr">
        <is>
          <t>qa-nexus-stack-diagram.svg · qa-nexus-stack-animated.html · qa-nexus-stack-logos.svg</t>
        </is>
      </c>
      <c r="H6" s="5" t="n"/>
    </row>
    <row r="7" ht="24" customHeight="1" s="15">
      <c r="B7" s="37" t="inlineStr">
        <is>
          <t>GRAND TOTAL</t>
        </is>
      </c>
      <c r="C7" s="54" t="n"/>
      <c r="D7" s="54" t="n"/>
      <c r="E7" s="13">
        <f>SUM(E6:E6)</f>
        <v/>
      </c>
      <c r="F7" s="14">
        <f>SUM(F6:F6)</f>
        <v/>
      </c>
      <c r="G7" s="54" t="n"/>
      <c r="H7" s="54" t="n"/>
    </row>
  </sheetData>
  <mergeCells count="2">
    <mergeCell ref="B3:H3"/>
    <mergeCell ref="B2:H2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ColWidth="8.6796875" defaultRowHeight="16.8"/>
  <cols>
    <col width="3" customWidth="1" style="15" min="1" max="1"/>
    <col width="14" customWidth="1" style="15" min="2" max="2"/>
    <col width="12" customWidth="1" style="15" min="3" max="3"/>
    <col width="22" customWidth="1" style="15" min="4" max="4"/>
    <col width="12" customWidth="1" style="15" min="5" max="6"/>
    <col width="42" customWidth="1" style="15" min="7" max="7"/>
    <col width="50" customWidth="1" style="15" min="8" max="8"/>
  </cols>
  <sheetData>
    <row r="2" ht="31.5" customHeight="1" s="15">
      <c r="B2" s="1" t="inlineStr">
        <is>
          <t>Development — Session Evidence</t>
        </is>
      </c>
    </row>
    <row r="3" ht="27.75" customHeight="1" s="15">
      <c r="B3" s="2" t="inlineStr">
        <is>
          <t>Phase 7 — Day-0 dev infra (Cloudflare, GitHub, hooks, kickoff doc) + Day-1+ code (Prisma schema, F07 wizard, Neon, PRs merged, RBAC sweep).</t>
        </is>
      </c>
    </row>
    <row r="5" ht="24" customHeight="1" s="15">
      <c r="B5" s="3" t="inlineStr">
        <is>
          <t>Date</t>
        </is>
      </c>
      <c r="C5" s="3" t="inlineStr">
        <is>
          <t>Day</t>
        </is>
      </c>
      <c r="D5" s="4" t="inlineStr">
        <is>
          <t>Timing</t>
        </is>
      </c>
      <c r="E5" s="4" t="inlineStr">
        <is>
          <t>Hours</t>
        </is>
      </c>
      <c r="F5" s="3" t="inlineStr">
        <is>
          <t>Files</t>
        </is>
      </c>
      <c r="G5" s="3" t="inlineStr">
        <is>
          <t>Evidence / Theme</t>
        </is>
      </c>
      <c r="H5" s="3" t="inlineStr">
        <is>
          <t>What I Did</t>
        </is>
      </c>
    </row>
    <row r="6" ht="19.5" customHeight="1" s="15">
      <c r="B6" s="5" t="inlineStr">
        <is>
          <t>2026-04-27</t>
        </is>
      </c>
      <c r="C6" s="5" t="inlineStr">
        <is>
          <t>Monday</t>
        </is>
      </c>
      <c r="D6" s="6" t="inlineStr">
        <is>
          <t>10:04 AM – 11:31 AM</t>
        </is>
      </c>
      <c r="E6" s="11" t="n">
        <v>1.68</v>
      </c>
      <c r="F6" s="5" t="n">
        <v>234</v>
      </c>
      <c r="G6" s="5" t="inlineStr">
        <is>
          <t>memory.md · api.md · database.md</t>
        </is>
      </c>
      <c r="H6" s="5" t="n"/>
    </row>
    <row r="7" ht="19.5" customHeight="1" s="15">
      <c r="B7" s="7" t="inlineStr">
        <is>
          <t>2026-04-27</t>
        </is>
      </c>
      <c r="C7" s="7" t="inlineStr">
        <is>
          <t>Monday</t>
        </is>
      </c>
      <c r="D7" s="8" t="inlineStr">
        <is>
          <t>1:19 PM – 1:19 PM</t>
        </is>
      </c>
      <c r="E7" s="12" t="n">
        <v>0.5</v>
      </c>
      <c r="F7" s="7" t="n">
        <v>16</v>
      </c>
      <c r="G7" s="7" t="inlineStr">
        <is>
          <t>audit-log.sh · report-token-savings.sh · check-secrets.sh</t>
        </is>
      </c>
      <c r="H7" s="7" t="n"/>
    </row>
    <row r="8" ht="19.5" customHeight="1" s="15">
      <c r="B8" s="5" t="inlineStr">
        <is>
          <t>2026-04-27</t>
        </is>
      </c>
      <c r="C8" s="5" t="inlineStr">
        <is>
          <t>Monday</t>
        </is>
      </c>
      <c r="D8" s="6" t="inlineStr">
        <is>
          <t>2:25 PM – 4:12 PM</t>
        </is>
      </c>
      <c r="E8" s="11" t="n">
        <v>2.03</v>
      </c>
      <c r="F8" s="5" t="n">
        <v>49</v>
      </c>
      <c r="G8" s="5" t="inlineStr">
        <is>
          <t>token-savings.jsonl · block-dangerous.sh · .gitleaks.toml</t>
        </is>
      </c>
      <c r="H8" s="5" t="n"/>
    </row>
    <row r="9" ht="19.5" customHeight="1" s="15">
      <c r="B9" s="7" t="inlineStr">
        <is>
          <t>2026-04-27</t>
        </is>
      </c>
      <c r="C9" s="7" t="inlineStr">
        <is>
          <t>Monday</t>
        </is>
      </c>
      <c r="D9" s="8" t="inlineStr">
        <is>
          <t>5:58 PM – 8:44 PM</t>
        </is>
      </c>
      <c r="E9" s="12" t="n">
        <v>3</v>
      </c>
      <c r="F9" s="7" t="n">
        <v>143</v>
      </c>
      <c r="G9" s="7" t="inlineStr">
        <is>
          <t>settings.local.json · deploy-check.md · sync-worktree.md</t>
        </is>
      </c>
      <c r="H9" s="7" t="n"/>
    </row>
    <row r="10" ht="19.5" customHeight="1" s="15">
      <c r="B10" s="5" t="inlineStr">
        <is>
          <t>2026-04-26</t>
        </is>
      </c>
      <c r="C10" s="5" t="inlineStr">
        <is>
          <t>Sunday</t>
        </is>
      </c>
      <c r="D10" s="6" t="inlineStr">
        <is>
          <t>2:29 PM – 2:29 PM</t>
        </is>
      </c>
      <c r="E10" s="11" t="n">
        <v>0.5</v>
      </c>
      <c r="F10" s="5" t="n">
        <v>574</v>
      </c>
      <c r="G10" s="5" t="inlineStr">
        <is>
          <t>e9502cdb · 3a4bb885 · 3147a1e3</t>
        </is>
      </c>
      <c r="H10" s="5" t="n"/>
    </row>
    <row r="11" ht="19.5" customHeight="1" s="15">
      <c r="B11" s="7" t="inlineStr">
        <is>
          <t>2026-04-26</t>
        </is>
      </c>
      <c r="C11" s="7" t="inlineStr">
        <is>
          <t>Sunday</t>
        </is>
      </c>
      <c r="D11" s="8" t="inlineStr">
        <is>
          <t>5:56 PM – 10:20 PM</t>
        </is>
      </c>
      <c r="E11" s="12" t="n">
        <v>4.63</v>
      </c>
      <c r="F11" s="7" t="n">
        <v>126</v>
      </c>
      <c r="G11" s="7" t="inlineStr">
        <is>
          <t>.editorconfig · .prettierrc.json · .nvmrc</t>
        </is>
      </c>
      <c r="H11" s="7" t="n"/>
    </row>
    <row r="12" ht="19.5" customHeight="1" s="15">
      <c r="B12" s="5" t="inlineStr">
        <is>
          <t>2026-04-24</t>
        </is>
      </c>
      <c r="C12" s="5" t="inlineStr">
        <is>
          <t>Friday</t>
        </is>
      </c>
      <c r="D12" s="6" t="inlineStr">
        <is>
          <t>10:46 PM – 10:46 PM</t>
        </is>
      </c>
      <c r="E12" s="11" t="n">
        <v>0.5</v>
      </c>
      <c r="F12" s="5" t="n">
        <v>1</v>
      </c>
      <c r="G12" s="5" t="inlineStr">
        <is>
          <t>settings.local.json</t>
        </is>
      </c>
      <c r="H12" s="5" t="n"/>
    </row>
    <row r="13" ht="19.5" customHeight="1" s="15">
      <c r="B13" s="7" t="inlineStr">
        <is>
          <t>2026-04-23</t>
        </is>
      </c>
      <c r="C13" s="7" t="inlineStr">
        <is>
          <t>Thursday</t>
        </is>
      </c>
      <c r="D13" s="8" t="inlineStr">
        <is>
          <t>11:03 AM – 11:03 AM</t>
        </is>
      </c>
      <c r="E13" s="12" t="n">
        <v>0.5</v>
      </c>
      <c r="F13" s="7" t="n">
        <v>1</v>
      </c>
      <c r="G13" s="7" t="inlineStr">
        <is>
          <t>PROJECT_DOCUMENT_AUDIT_REPORT.md</t>
        </is>
      </c>
      <c r="H13" s="7" t="n"/>
    </row>
    <row r="14" ht="19.5" customHeight="1" s="15">
      <c r="B14" s="5" t="inlineStr">
        <is>
          <t>2026-04-23</t>
        </is>
      </c>
      <c r="C14" s="5" t="inlineStr">
        <is>
          <t>Thursday</t>
        </is>
      </c>
      <c r="D14" s="6" t="inlineStr">
        <is>
          <t>12:06 PM – 12:06 PM</t>
        </is>
      </c>
      <c r="E14" s="11" t="n">
        <v>0.5</v>
      </c>
      <c r="F14" s="5" t="n">
        <v>1</v>
      </c>
      <c r="G14" s="5" t="inlineStr">
        <is>
          <t>PROJECT_ROADMAP.md</t>
        </is>
      </c>
      <c r="H14" s="5" t="n"/>
    </row>
    <row r="15" ht="24" customHeight="1" s="15">
      <c r="B15" s="99" t="n">
        <v>46140</v>
      </c>
      <c r="E15" t="n">
        <v>8</v>
      </c>
      <c r="F15" t="n">
        <v>50</v>
      </c>
      <c r="G15" t="inlineStr">
        <is>
          <t>Skill features push (89%→96% conformance)</t>
        </is>
      </c>
      <c r="H15" t="inlineStr">
        <is>
          <t>MAIN solo, 5-block skill-features push. See docs/eod-reports/2026-04-28-day-2.md.</t>
        </is>
      </c>
    </row>
    <row r="16">
      <c r="B16" s="99" t="n">
        <v>46141</v>
      </c>
      <c r="C16" t="inlineStr">
        <is>
          <t>Wednesday</t>
        </is>
      </c>
      <c r="D16" t="inlineStr">
        <is>
          <t>10 AM – 6 PM IST (PLACEHOLDER — refine per actual sessions)</t>
        </is>
      </c>
      <c r="E16" t="n">
        <v>8</v>
      </c>
      <c r="F16" t="n">
        <v>60</v>
      </c>
      <c r="G16" t="inlineStr">
        <is>
          <t>Deploy prep-pack + R2 service + ADRs + T031 e2e + T018 weekly backup</t>
        </is>
      </c>
      <c r="H16" t="inlineStr">
        <is>
          <t>5-phase day: 4 runbooks (render/r2/uptimerobot/resend) + R2 service code (14 jest tests) + Playwright e2e scaffold + weekly Postgres backup workflow + restore runbook. ADR-004 + ADR-005. See docs/eod-reports/2026-04-29-day-3.md.</t>
        </is>
      </c>
    </row>
    <row r="17">
      <c r="B17" s="99" t="n">
        <v>46142</v>
      </c>
      <c r="C17" t="inlineStr">
        <is>
          <t>Thursday</t>
        </is>
      </c>
      <c r="D17" t="inlineStr">
        <is>
          <t>10 AM – 7 PM IST (PLACEHOLDER — refine per actual sessions)</t>
        </is>
      </c>
      <c r="E17" t="n">
        <v>9</v>
      </c>
      <c r="F17" t="n">
        <v>80</v>
      </c>
      <c r="G17" t="inlineStr">
        <is>
          <t>5 BE hotfixes + 2 PRs merged + 6 dashboard services provisioned</t>
        </is>
      </c>
      <c r="H17" t="inlineStr">
        <is>
          <t>Day-4 boot regression chain (NestOtelLogger -&gt; Graceful -&gt; pnpm dup-key -&gt; sharp 0.33 -&gt; bge-small swap). PR #17 (F09+F10 seed-cent) + PR #19 (F12+F13 uploads). All 6 dashboard services live. ADR-009 + ADR-003 amendment. Followups (i)+(j) closed, (k) dropped, (l)+(m) filed. See docs/eod-reports/2026-04-30-day-4.md.</t>
        </is>
      </c>
    </row>
    <row r="18" ht="64" customHeight="1" s="15">
      <c r="B18" s="100" t="n">
        <v>46148</v>
      </c>
      <c r="C18" s="101" t="inlineStr">
        <is>
          <t>Wednesday</t>
        </is>
      </c>
      <c r="D18" s="102" t="inlineStr">
        <is>
          <t>11:30 AM – 5:45 PM</t>
        </is>
      </c>
      <c r="E18" s="103" t="n">
        <v>6.25</v>
      </c>
      <c r="F18" s="101" t="n">
        <v>10</v>
      </c>
      <c r="G18" s="102" t="inlineStr">
        <is>
          <t>M2 TASK 1 F12 KB Upload + AdminShell fix</t>
        </is>
      </c>
      <c r="H18" s="102" t="inlineStr">
        <is>
          <t>FE+1 session: F12 KB Upload Modal Pattern A scaffold (PR #52, merged 12:13 IST), AdminShell wrap fix on F12+F13 (PR #63, post visual-gate catch), Day-11 EOD + compound-learnings + sessions-stream init (PR #55). Idle Thu morning until BE /api/kb/upload-init lands.</t>
        </is>
      </c>
    </row>
    <row r="19" ht="64" customHeight="1" s="15">
      <c r="B19" s="100" t="n">
        <v>46148</v>
      </c>
      <c r="C19" s="101" t="inlineStr">
        <is>
          <t>Wednesday</t>
        </is>
      </c>
      <c r="D19" s="102" t="inlineStr">
        <is>
          <t>11:30 AM – 3:30 PM</t>
        </is>
      </c>
      <c r="E19" s="103" t="n">
        <v>4</v>
      </c>
      <c r="F19" s="101" t="n">
        <v>25</v>
      </c>
      <c r="G19" s="102" t="inlineStr">
        <is>
          <t>M2 deploy + chunk-search + RAG pipeline</t>
        </is>
      </c>
      <c r="H19" s="102" t="inlineStr">
        <is>
          <t>BE+1 session: M2 staging deploy artifacts + ADR-011 (PR #51 rebased to 577e975), chunk-search real pgvector flip (PR #53), KB RAG /api/kb/answer + ADR-012 (PR #57). 14 new tests, 325/325 BE suite. Compound-learning: citation marker = chunk header (no drift).</t>
        </is>
      </c>
    </row>
    <row r="20" ht="64" customHeight="1" s="15">
      <c r="B20" s="100" t="n">
        <v>46155</v>
      </c>
      <c r="C20" s="101" t="inlineStr">
        <is>
          <t>Wednesday</t>
        </is>
      </c>
      <c r="D20" s="102" t="inlineStr">
        <is>
          <t>10:00 AM – 10:30 PM</t>
        </is>
      </c>
      <c r="E20" s="103" t="n">
        <v>12.5</v>
      </c>
      <c r="F20" s="101" t="n">
        <v>28</v>
      </c>
      <c r="G20" s="102" t="inlineStr">
        <is>
          <t>Day-17 M3 close ceremony + 4-PR auth saga + M3 close PR</t>
        </is>
      </c>
      <c r="H20" s="102" t="inlineStr">
        <is>
          <t>M3 OFFICIALLY CLOSED at 22:55 IST. 13 PRs merged today (#129 #130 #131 #132 #133 #134 #137 #138 #139 #135 #136 #141 #142). 9-PR BetterAuth fix chain finally complete (Day-15 5-PR + Day-17 4-PR saga: #137 Gmail prefetch intermediate confirm page, #138 zod scoped override for @better-auth/core + 4-layer proof, #139 drop /auth/ prefix in sendMagicLink URL, plus BetterAuth &gt;=1.6.11 hardcoded single-use atomic consumption discovery). Magic-link end-to-end confirmed green by Yogesh through Gmail at 21:00 IST. F19 Run Console + AdminShell canonical realignment landed. CLAUDE.md amended with Hard Rule 14 (AdminShell F19-canonical) + Hard Rule 16 NEW (canonical-first port workflow 8 steps). 12 close-ceremony artifacts shipped in PR #141 + PR #142 (M2+M3 retro). Tag m3-closed-2026-05-13 anchored at SHA a98797b (#139 — auth-chain-complete commit). 52 PRs across M3 sprint (6 calendar days / ~3.6 working days).</t>
        </is>
      </c>
    </row>
    <row r="21">
      <c r="B21" s="37" t="inlineStr">
        <is>
          <t>GRAND TOTAL</t>
        </is>
      </c>
      <c r="C21" s="54" t="n"/>
      <c r="D21" s="54" t="n"/>
      <c r="E21" s="13">
        <f>SUM(E6:E20)</f>
        <v/>
      </c>
      <c r="F21" s="14">
        <f>SUM(F6:F20)</f>
        <v/>
      </c>
      <c r="G21" s="54" t="n"/>
      <c r="H21" s="54" t="n"/>
    </row>
  </sheetData>
  <mergeCells count="2">
    <mergeCell ref="B3:H3"/>
    <mergeCell ref="B2:H2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0" tabSelected="1" workbookViewId="0">
      <selection activeCell="A1" sqref="A1"/>
    </sheetView>
  </sheetViews>
  <sheetFormatPr baseColWidth="8" defaultColWidth="8.6796875" defaultRowHeight="16.8"/>
  <cols>
    <col width="3" customWidth="1" style="15" min="1" max="1"/>
    <col width="14" customWidth="1" style="15" min="2" max="2"/>
    <col width="12" customWidth="1" style="15" min="3" max="3"/>
    <col width="22" customWidth="1" style="15" min="4" max="4"/>
    <col width="12" customWidth="1" style="15" min="5" max="6"/>
    <col width="42" customWidth="1" style="15" min="7" max="7"/>
    <col width="50" customWidth="1" style="15" min="8" max="8"/>
  </cols>
  <sheetData>
    <row r="2" ht="31.5" customHeight="1" s="15">
      <c r="B2" s="1" t="inlineStr">
        <is>
          <t>Other — Session Evidence</t>
        </is>
      </c>
    </row>
    <row r="3" ht="27.75" customHeight="1" s="15">
      <c r="B3" s="2" t="inlineStr">
        <is>
          <t>Misc files that did not match any phase classifier — review and re-categorise if needed.</t>
        </is>
      </c>
    </row>
    <row r="5" ht="24" customHeight="1" s="15">
      <c r="B5" s="3" t="inlineStr">
        <is>
          <t>Date</t>
        </is>
      </c>
      <c r="C5" s="3" t="inlineStr">
        <is>
          <t>Day</t>
        </is>
      </c>
      <c r="D5" s="4" t="inlineStr">
        <is>
          <t>Timing</t>
        </is>
      </c>
      <c r="E5" s="4" t="inlineStr">
        <is>
          <t>Hours</t>
        </is>
      </c>
      <c r="F5" s="3" t="inlineStr">
        <is>
          <t>Files</t>
        </is>
      </c>
      <c r="G5" s="3" t="inlineStr">
        <is>
          <t>Evidence / Theme</t>
        </is>
      </c>
      <c r="H5" s="3" t="inlineStr">
        <is>
          <t>What I Did</t>
        </is>
      </c>
    </row>
    <row r="6" ht="19.5" customHeight="1" s="15">
      <c r="B6" s="5" t="inlineStr">
        <is>
          <t>2026-04-27</t>
        </is>
      </c>
      <c r="C6" s="5" t="inlineStr">
        <is>
          <t>Monday</t>
        </is>
      </c>
      <c r="D6" s="6" t="inlineStr">
        <is>
          <t>8:55 PM – 9:49 PM</t>
        </is>
      </c>
      <c r="E6" s="11" t="n">
        <v>1.15</v>
      </c>
      <c r="F6" s="5" t="n">
        <v>3</v>
      </c>
      <c r="G6" s="5" t="inlineStr">
        <is>
          <t>.~lock.QA_Nexus_Work_Hours_Log.xlsx# · lu1418u8yh.tmp · lu13993vzx.tmp</t>
        </is>
      </c>
      <c r="H6" s="5" t="n"/>
    </row>
    <row r="7" ht="19.5" customHeight="1" s="15">
      <c r="B7" s="7" t="inlineStr">
        <is>
          <t>2026-04-24</t>
        </is>
      </c>
      <c r="C7" s="7" t="inlineStr">
        <is>
          <t>Friday</t>
        </is>
      </c>
      <c r="D7" s="8" t="inlineStr">
        <is>
          <t>10:46 PM – 10:46 PM</t>
        </is>
      </c>
      <c r="E7" s="12" t="n">
        <v>0.5</v>
      </c>
      <c r="F7" s="7" t="n">
        <v>1</v>
      </c>
      <c r="G7" s="7" t="inlineStr">
        <is>
          <t>settings.local.json</t>
        </is>
      </c>
      <c r="H7" s="7" t="n"/>
    </row>
    <row r="8" ht="19.5" customHeight="1" s="15">
      <c r="B8" s="5" t="inlineStr">
        <is>
          <t>2026-04-23</t>
        </is>
      </c>
      <c r="C8" s="5" t="inlineStr">
        <is>
          <t>Thursday</t>
        </is>
      </c>
      <c r="D8" s="6" t="inlineStr">
        <is>
          <t>11:03 AM – 11:03 AM</t>
        </is>
      </c>
      <c r="E8" s="11" t="n">
        <v>0.5</v>
      </c>
      <c r="F8" s="5" t="n">
        <v>1</v>
      </c>
      <c r="G8" s="5" t="inlineStr">
        <is>
          <t>PROJECT_DOCUMENT_AUDIT_REPORT.md</t>
        </is>
      </c>
      <c r="H8" s="5" t="n"/>
    </row>
    <row r="9" ht="19.5" customHeight="1" s="15">
      <c r="B9" s="7" t="inlineStr">
        <is>
          <t>2026-04-23</t>
        </is>
      </c>
      <c r="C9" s="7" t="inlineStr">
        <is>
          <t>Thursday</t>
        </is>
      </c>
      <c r="D9" s="8" t="inlineStr">
        <is>
          <t>12:06 PM – 12:06 PM</t>
        </is>
      </c>
      <c r="E9" s="12" t="n">
        <v>0.5</v>
      </c>
      <c r="F9" s="7" t="n">
        <v>1</v>
      </c>
      <c r="G9" s="7" t="inlineStr">
        <is>
          <t>PROJECT_ROADMAP.md</t>
        </is>
      </c>
      <c r="H9" s="7" t="n"/>
    </row>
    <row r="10" ht="24" customHeight="1" s="15">
      <c r="B10" s="37" t="inlineStr">
        <is>
          <t>GRAND TOTAL</t>
        </is>
      </c>
      <c r="C10" s="54" t="n"/>
      <c r="D10" s="54" t="n"/>
      <c r="E10" s="13">
        <f>SUM(E6:E9)</f>
        <v/>
      </c>
      <c r="F10" s="14">
        <f>SUM(F6:F9)</f>
        <v/>
      </c>
      <c r="G10" s="54" t="n"/>
      <c r="H10" s="54" t="n"/>
    </row>
  </sheetData>
  <mergeCells count="2">
    <mergeCell ref="B3:H3"/>
    <mergeCell ref="B2:H2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4" t="inlineStr">
        <is>
          <t>Date</t>
        </is>
      </c>
      <c r="B1" s="104" t="inlineStr">
        <is>
          <t>Day-N</t>
        </is>
      </c>
      <c r="C1" s="104" t="inlineStr">
        <is>
          <t>Worktree</t>
        </is>
      </c>
      <c r="D1" s="104" t="inlineStr">
        <is>
          <t>Started</t>
        </is>
      </c>
      <c r="E1" s="104" t="inlineStr">
        <is>
          <t>Ended</t>
        </is>
      </c>
      <c r="F1" s="104" t="inlineStr">
        <is>
          <t>Duration (min)</t>
        </is>
      </c>
      <c r="G1" s="104" t="inlineStr">
        <is>
          <t>Tool Calls</t>
        </is>
      </c>
      <c r="H1" s="104" t="inlineStr">
        <is>
          <t>Tokens In</t>
        </is>
      </c>
      <c r="I1" s="104" t="inlineStr">
        <is>
          <t>Tokens Out</t>
        </is>
      </c>
      <c r="J1" s="104" t="inlineStr">
        <is>
          <t>Cache Read</t>
        </is>
      </c>
      <c r="K1" s="104" t="inlineStr">
        <is>
          <t>Tokens Saved</t>
        </is>
      </c>
      <c r="L1" s="104" t="inlineStr">
        <is>
          <t>Cost USD</t>
        </is>
      </c>
      <c r="M1" s="104" t="inlineStr">
        <is>
          <t>In:Out Ratio</t>
        </is>
      </c>
      <c r="N1" s="104" t="inlineStr">
        <is>
          <t>Branch</t>
        </is>
      </c>
      <c r="O1" s="104" t="inlineStr">
        <is>
          <t>Commits</t>
        </is>
      </c>
      <c r="P1" s="104" t="inlineStr">
        <is>
          <t>Source</t>
        </is>
      </c>
    </row>
    <row r="2">
      <c r="A2" t="inlineStr">
        <is>
          <t>2026-04-26</t>
        </is>
      </c>
      <c r="B2" t="n">
        <v>0</v>
      </c>
      <c r="C2" t="inlineStr">
        <is>
          <t>BE</t>
        </is>
      </c>
      <c r="D2" t="inlineStr">
        <is>
          <t>&lt;unknown&gt;</t>
        </is>
      </c>
      <c r="E2" t="inlineStr">
        <is>
          <t>&lt;unknown&gt;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n">
        <v>0</v>
      </c>
      <c r="P2" t="inlineStr">
        <is>
          <t>&lt;unknown&gt;</t>
        </is>
      </c>
    </row>
    <row r="3">
      <c r="A3" t="inlineStr">
        <is>
          <t>2026-04-26</t>
        </is>
      </c>
      <c r="B3" t="n">
        <v>0</v>
      </c>
      <c r="C3" t="inlineStr">
        <is>
          <t>FE</t>
        </is>
      </c>
      <c r="D3" t="inlineStr">
        <is>
          <t>&lt;unknown&gt;</t>
        </is>
      </c>
      <c r="E3" t="inlineStr">
        <is>
          <t>&lt;unknown&gt;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n">
        <v>0</v>
      </c>
      <c r="P3" t="inlineStr">
        <is>
          <t>&lt;unknown&gt;</t>
        </is>
      </c>
    </row>
    <row r="4">
      <c r="A4" t="inlineStr">
        <is>
          <t>2026-04-26</t>
        </is>
      </c>
      <c r="B4" t="n">
        <v>0</v>
      </c>
      <c r="C4" t="inlineStr">
        <is>
          <t>MAIN</t>
        </is>
      </c>
      <c r="D4" t="inlineStr">
        <is>
          <t>&lt;unknown&gt;</t>
        </is>
      </c>
      <c r="E4" t="inlineStr">
        <is>
          <t>&lt;unknown&gt;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n">
        <v>0</v>
      </c>
      <c r="P4" t="inlineStr">
        <is>
          <t>&lt;unknown&gt;</t>
        </is>
      </c>
    </row>
    <row r="5">
      <c r="A5" t="inlineStr">
        <is>
          <t>2026-04-27</t>
        </is>
      </c>
      <c r="B5" t="n">
        <v>1</v>
      </c>
      <c r="C5" t="inlineStr">
        <is>
          <t>BE</t>
        </is>
      </c>
      <c r="D5" t="inlineStr">
        <is>
          <t>&lt;unknown&gt;</t>
        </is>
      </c>
      <c r="E5" t="inlineStr">
        <is>
          <t>&lt;unknown&gt;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n">
        <v>0</v>
      </c>
      <c r="P5" t="inlineStr">
        <is>
          <t>&lt;unknown&gt;</t>
        </is>
      </c>
    </row>
    <row r="6">
      <c r="A6" t="inlineStr">
        <is>
          <t>2026-04-27</t>
        </is>
      </c>
      <c r="B6" t="n">
        <v>1</v>
      </c>
      <c r="C6" t="inlineStr">
        <is>
          <t>FE</t>
        </is>
      </c>
      <c r="D6" t="inlineStr">
        <is>
          <t>&lt;unknown&gt;</t>
        </is>
      </c>
      <c r="E6" t="inlineStr">
        <is>
          <t>&lt;unknown&gt;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inlineStr">
        <is>
          <t>&lt;unknown&gt;</t>
        </is>
      </c>
    </row>
    <row r="7">
      <c r="A7" t="inlineStr">
        <is>
          <t>2026-04-27</t>
        </is>
      </c>
      <c r="B7" t="n">
        <v>1</v>
      </c>
      <c r="C7" t="inlineStr">
        <is>
          <t>MAIN</t>
        </is>
      </c>
      <c r="D7" t="inlineStr">
        <is>
          <t>06:00</t>
        </is>
      </c>
      <c r="E7" t="inlineStr">
        <is>
          <t>17:00</t>
        </is>
      </c>
      <c r="F7" t="n">
        <v>660</v>
      </c>
      <c r="G7" t="n">
        <v>120</v>
      </c>
      <c r="H7" t="n">
        <v>240000</v>
      </c>
      <c r="I7" t="n">
        <v>60000</v>
      </c>
      <c r="J7" t="n">
        <v>0</v>
      </c>
      <c r="K7" t="n">
        <v>6450</v>
      </c>
      <c r="L7" t="n">
        <v>1.62</v>
      </c>
      <c r="M7" t="n">
        <v>4</v>
      </c>
      <c r="N7" t="inlineStr">
        <is>
          <t>main</t>
        </is>
      </c>
      <c r="O7" t="n">
        <v>17</v>
      </c>
      <c r="P7" t="inlineStr">
        <is>
          <t>heuristic</t>
        </is>
      </c>
    </row>
    <row r="8">
      <c r="A8" t="inlineStr">
        <is>
          <t>2026-04-28</t>
        </is>
      </c>
      <c r="B8" t="n">
        <v>2</v>
      </c>
      <c r="C8" t="inlineStr">
        <is>
          <t>BE</t>
        </is>
      </c>
      <c r="D8" t="inlineStr">
        <is>
          <t>&lt;unknown&gt;</t>
        </is>
      </c>
      <c r="E8" t="inlineStr">
        <is>
          <t>&lt;unknown&gt;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inlineStr">
        <is>
          <t>&lt;unknown&gt;</t>
        </is>
      </c>
    </row>
    <row r="9">
      <c r="A9" t="inlineStr">
        <is>
          <t>2026-04-28</t>
        </is>
      </c>
      <c r="B9" t="n">
        <v>2</v>
      </c>
      <c r="C9" t="inlineStr">
        <is>
          <t>FE</t>
        </is>
      </c>
      <c r="D9" t="inlineStr">
        <is>
          <t>&lt;unknown&gt;</t>
        </is>
      </c>
      <c r="E9" t="inlineStr">
        <is>
          <t>&lt;unknown&gt;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inlineStr">
        <is>
          <t>&lt;unknown&gt;</t>
        </is>
      </c>
    </row>
    <row r="10">
      <c r="A10" t="inlineStr">
        <is>
          <t>2026-04-28</t>
        </is>
      </c>
      <c r="B10" t="n">
        <v>2</v>
      </c>
      <c r="C10" t="inlineStr">
        <is>
          <t>MAIN</t>
        </is>
      </c>
      <c r="D10" t="inlineStr">
        <is>
          <t>04:30</t>
        </is>
      </c>
      <c r="E10" t="inlineStr">
        <is>
          <t>06:40</t>
        </is>
      </c>
      <c r="F10" t="n">
        <v>130</v>
      </c>
      <c r="G10" t="n">
        <v>85</v>
      </c>
      <c r="H10" t="n">
        <v>170000</v>
      </c>
      <c r="I10" t="n">
        <v>42500</v>
      </c>
      <c r="J10" t="n">
        <v>0</v>
      </c>
      <c r="K10" t="n">
        <v>57400</v>
      </c>
      <c r="L10" t="n">
        <v>1.1475</v>
      </c>
      <c r="M10" t="n">
        <v>4</v>
      </c>
      <c r="N10" t="inlineStr">
        <is>
          <t>main</t>
        </is>
      </c>
      <c r="O10" t="n">
        <v>5</v>
      </c>
      <c r="P10" t="inlineStr">
        <is>
          <t>heuristic</t>
        </is>
      </c>
    </row>
    <row r="11">
      <c r="A11" t="inlineStr">
        <is>
          <t>2026-04-28</t>
        </is>
      </c>
      <c r="B11" t="n">
        <v>2</v>
      </c>
      <c r="C11" t="inlineStr">
        <is>
          <t>MAIN</t>
        </is>
      </c>
      <c r="D11" t="inlineStr">
        <is>
          <t>08:20</t>
        </is>
      </c>
      <c r="E11" t="inlineStr">
        <is>
          <t>09:35</t>
        </is>
      </c>
      <c r="F11" t="n">
        <v>75</v>
      </c>
      <c r="G11" t="n">
        <v>53</v>
      </c>
      <c r="H11" t="n">
        <v>106000</v>
      </c>
      <c r="I11" t="n">
        <v>26500</v>
      </c>
      <c r="J11" t="n">
        <v>0</v>
      </c>
      <c r="K11" t="n">
        <v>18850</v>
      </c>
      <c r="L11" t="n">
        <v>0.7155</v>
      </c>
      <c r="M11" t="n">
        <v>4</v>
      </c>
      <c r="N11" t="inlineStr">
        <is>
          <t>main</t>
        </is>
      </c>
      <c r="O11" t="n">
        <v>3</v>
      </c>
      <c r="P11" t="inlineStr">
        <is>
          <t>heuristic</t>
        </is>
      </c>
    </row>
    <row r="12">
      <c r="A12" t="inlineStr">
        <is>
          <t>2026-04-28</t>
        </is>
      </c>
      <c r="B12" t="n">
        <v>2</v>
      </c>
      <c r="C12" t="inlineStr">
        <is>
          <t>MAIN</t>
        </is>
      </c>
      <c r="D12" t="inlineStr">
        <is>
          <t>13:35</t>
        </is>
      </c>
      <c r="E12" t="inlineStr">
        <is>
          <t>15:30</t>
        </is>
      </c>
      <c r="F12" t="n">
        <v>115</v>
      </c>
      <c r="G12" t="n">
        <v>75</v>
      </c>
      <c r="H12" t="n">
        <v>150000</v>
      </c>
      <c r="I12" t="n">
        <v>37500</v>
      </c>
      <c r="J12" t="n">
        <v>0</v>
      </c>
      <c r="K12" t="n">
        <v>26800</v>
      </c>
      <c r="L12" t="n">
        <v>1.0125</v>
      </c>
      <c r="M12" t="n">
        <v>4</v>
      </c>
      <c r="N12" t="inlineStr">
        <is>
          <t>main</t>
        </is>
      </c>
      <c r="O12" t="n">
        <v>4</v>
      </c>
      <c r="P12" t="inlineStr">
        <is>
          <t>heuristic</t>
        </is>
      </c>
    </row>
    <row r="13">
      <c r="A13" t="inlineStr">
        <is>
          <t>2026-04-29</t>
        </is>
      </c>
      <c r="B13" t="n">
        <v>3</v>
      </c>
      <c r="C13" t="inlineStr">
        <is>
          <t>BE</t>
        </is>
      </c>
      <c r="D13" t="inlineStr">
        <is>
          <t>&lt;unknown&gt;</t>
        </is>
      </c>
      <c r="E13" t="inlineStr">
        <is>
          <t>&lt;unknown&gt;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0</v>
      </c>
      <c r="P13" t="inlineStr">
        <is>
          <t>&lt;unknown&gt;</t>
        </is>
      </c>
    </row>
    <row r="14">
      <c r="A14" t="inlineStr">
        <is>
          <t>2026-04-29</t>
        </is>
      </c>
      <c r="B14" t="n">
        <v>3</v>
      </c>
      <c r="C14" t="inlineStr">
        <is>
          <t>FE</t>
        </is>
      </c>
      <c r="D14" t="inlineStr">
        <is>
          <t>&lt;unknown&gt;</t>
        </is>
      </c>
      <c r="E14" t="inlineStr">
        <is>
          <t>&lt;unknown&gt;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inlineStr">
        <is>
          <t>&lt;unknown&gt;</t>
        </is>
      </c>
    </row>
    <row r="15">
      <c r="A15" t="inlineStr">
        <is>
          <t>2026-04-29</t>
        </is>
      </c>
      <c r="B15" t="n">
        <v>3</v>
      </c>
      <c r="C15" t="inlineStr">
        <is>
          <t>MAIN</t>
        </is>
      </c>
      <c r="D15" t="inlineStr">
        <is>
          <t>&lt;unknown&gt;</t>
        </is>
      </c>
      <c r="E15" t="inlineStr">
        <is>
          <t>&lt;unknown&gt;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0</v>
      </c>
      <c r="P15" t="inlineStr">
        <is>
          <t>&lt;unknown&gt;</t>
        </is>
      </c>
    </row>
    <row r="16">
      <c r="A16" t="inlineStr">
        <is>
          <t>2026-04-30</t>
        </is>
      </c>
      <c r="B16" t="n">
        <v>4</v>
      </c>
      <c r="C16" t="inlineStr">
        <is>
          <t>BE</t>
        </is>
      </c>
      <c r="D16" t="inlineStr">
        <is>
          <t>&lt;unknown&gt;</t>
        </is>
      </c>
      <c r="E16" t="inlineStr">
        <is>
          <t>&lt;unknown&gt;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inlineStr">
        <is>
          <t>&lt;unknown&gt;</t>
        </is>
      </c>
    </row>
    <row r="17">
      <c r="A17" t="inlineStr">
        <is>
          <t>2026-04-30</t>
        </is>
      </c>
      <c r="B17" t="n">
        <v>4</v>
      </c>
      <c r="C17" t="inlineStr">
        <is>
          <t>FE</t>
        </is>
      </c>
      <c r="D17" t="inlineStr">
        <is>
          <t>&lt;unknown&gt;</t>
        </is>
      </c>
      <c r="E17" t="inlineStr">
        <is>
          <t>&lt;unknown&gt;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0</v>
      </c>
      <c r="P17" t="inlineStr">
        <is>
          <t>&lt;unknown&gt;</t>
        </is>
      </c>
    </row>
    <row r="18">
      <c r="A18" t="inlineStr">
        <is>
          <t>2026-04-30</t>
        </is>
      </c>
      <c r="B18" t="n">
        <v>4</v>
      </c>
      <c r="C18" t="inlineStr">
        <is>
          <t>MAIN</t>
        </is>
      </c>
      <c r="D18" t="inlineStr">
        <is>
          <t>&lt;unknown&gt;</t>
        </is>
      </c>
      <c r="E18" t="inlineStr">
        <is>
          <t>&lt;unknown&gt;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n">
        <v>0</v>
      </c>
      <c r="P18" t="inlineStr">
        <is>
          <t>&lt;unknown&gt;</t>
        </is>
      </c>
    </row>
    <row r="19">
      <c r="A19" t="inlineStr">
        <is>
          <t>2026-05-01</t>
        </is>
      </c>
      <c r="B19" t="n">
        <v>5</v>
      </c>
      <c r="C19" t="inlineStr">
        <is>
          <t>BE</t>
        </is>
      </c>
      <c r="D19" t="inlineStr">
        <is>
          <t>&lt;unknown&gt;</t>
        </is>
      </c>
      <c r="E19" t="inlineStr">
        <is>
          <t>&lt;unknown&gt;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0</v>
      </c>
      <c r="P19" t="inlineStr">
        <is>
          <t>&lt;unknown&gt;</t>
        </is>
      </c>
    </row>
    <row r="20">
      <c r="A20" t="inlineStr">
        <is>
          <t>2026-05-01</t>
        </is>
      </c>
      <c r="B20" t="n">
        <v>5</v>
      </c>
      <c r="C20" t="inlineStr">
        <is>
          <t>FE</t>
        </is>
      </c>
      <c r="D20" t="inlineStr">
        <is>
          <t>&lt;unknown&gt;</t>
        </is>
      </c>
      <c r="E20" t="inlineStr">
        <is>
          <t>&lt;unknown&gt;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n">
        <v>0</v>
      </c>
      <c r="P20" t="inlineStr">
        <is>
          <t>&lt;unknown&gt;</t>
        </is>
      </c>
    </row>
    <row r="21">
      <c r="A21" t="inlineStr">
        <is>
          <t>2026-05-01</t>
        </is>
      </c>
      <c r="B21" t="n">
        <v>5</v>
      </c>
      <c r="C21" t="inlineStr">
        <is>
          <t>MAIN</t>
        </is>
      </c>
      <c r="D21" t="inlineStr">
        <is>
          <t>&lt;unknown&gt;</t>
        </is>
      </c>
      <c r="E21" t="inlineStr">
        <is>
          <t>&lt;unknown&gt;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0</v>
      </c>
      <c r="P21" t="inlineStr">
        <is>
          <t>&lt;unknown&gt;</t>
        </is>
      </c>
    </row>
    <row r="22">
      <c r="A22" t="inlineStr">
        <is>
          <t>2026-05-02</t>
        </is>
      </c>
      <c r="B22" t="n">
        <v>6</v>
      </c>
      <c r="C22" t="inlineStr">
        <is>
          <t>BE</t>
        </is>
      </c>
      <c r="D22" t="inlineStr">
        <is>
          <t>&lt;unknown&gt;</t>
        </is>
      </c>
      <c r="E22" t="inlineStr">
        <is>
          <t>&lt;unknown&gt;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n">
        <v>0</v>
      </c>
      <c r="P22" t="inlineStr">
        <is>
          <t>&lt;unknown&gt;</t>
        </is>
      </c>
    </row>
    <row r="23">
      <c r="A23" t="inlineStr">
        <is>
          <t>2026-05-02</t>
        </is>
      </c>
      <c r="B23" t="n">
        <v>6</v>
      </c>
      <c r="C23" t="inlineStr">
        <is>
          <t>FE</t>
        </is>
      </c>
      <c r="D23" t="inlineStr">
        <is>
          <t>&lt;unknown&gt;</t>
        </is>
      </c>
      <c r="E23" t="inlineStr">
        <is>
          <t>&lt;unknown&gt;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n">
        <v>0</v>
      </c>
      <c r="P23" t="inlineStr">
        <is>
          <t>&lt;unknown&gt;</t>
        </is>
      </c>
    </row>
    <row r="24">
      <c r="A24" t="inlineStr">
        <is>
          <t>2026-05-02</t>
        </is>
      </c>
      <c r="B24" t="n">
        <v>6</v>
      </c>
      <c r="C24" t="inlineStr">
        <is>
          <t>MAIN</t>
        </is>
      </c>
      <c r="D24" t="inlineStr">
        <is>
          <t>&lt;unknown&gt;</t>
        </is>
      </c>
      <c r="E24" t="inlineStr">
        <is>
          <t>&lt;unknown&gt;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n">
        <v>0</v>
      </c>
      <c r="P24" t="inlineStr">
        <is>
          <t>&lt;unknown&gt;</t>
        </is>
      </c>
    </row>
    <row r="25">
      <c r="A25" t="inlineStr">
        <is>
          <t>2026-05-03</t>
        </is>
      </c>
      <c r="B25" t="n">
        <v>7</v>
      </c>
      <c r="C25" t="inlineStr">
        <is>
          <t>BE</t>
        </is>
      </c>
      <c r="D25" t="inlineStr">
        <is>
          <t>&lt;unknown&gt;</t>
        </is>
      </c>
      <c r="E25" t="inlineStr">
        <is>
          <t>&lt;unknown&gt;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n">
        <v>0</v>
      </c>
      <c r="P25" t="inlineStr">
        <is>
          <t>&lt;unknown&gt;</t>
        </is>
      </c>
    </row>
    <row r="26">
      <c r="A26" t="inlineStr">
        <is>
          <t>2026-05-03</t>
        </is>
      </c>
      <c r="B26" t="n">
        <v>7</v>
      </c>
      <c r="C26" t="inlineStr">
        <is>
          <t>FE</t>
        </is>
      </c>
      <c r="D26" t="inlineStr">
        <is>
          <t>&lt;unknown&gt;</t>
        </is>
      </c>
      <c r="E26" t="inlineStr">
        <is>
          <t>&lt;unknown&gt;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n">
        <v>0</v>
      </c>
      <c r="P26" t="inlineStr">
        <is>
          <t>&lt;unknown&gt;</t>
        </is>
      </c>
    </row>
    <row r="27">
      <c r="A27" t="inlineStr">
        <is>
          <t>2026-05-03</t>
        </is>
      </c>
      <c r="B27" t="n">
        <v>7</v>
      </c>
      <c r="C27" t="inlineStr">
        <is>
          <t>MAIN</t>
        </is>
      </c>
      <c r="D27" t="inlineStr">
        <is>
          <t>&lt;unknown&gt;</t>
        </is>
      </c>
      <c r="E27" t="inlineStr">
        <is>
          <t>&lt;unknown&gt;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n">
        <v>0</v>
      </c>
      <c r="P27" t="inlineStr">
        <is>
          <t>&lt;unknown&gt;</t>
        </is>
      </c>
    </row>
    <row r="28">
      <c r="A28" t="inlineStr">
        <is>
          <t>2026-05-04</t>
        </is>
      </c>
      <c r="B28" t="n">
        <v>8</v>
      </c>
      <c r="C28" t="inlineStr">
        <is>
          <t>MAIN</t>
        </is>
      </c>
      <c r="D28" t="inlineStr">
        <is>
          <t>11:27</t>
        </is>
      </c>
      <c r="E28" t="inlineStr">
        <is>
          <t>12:27</t>
        </is>
      </c>
      <c r="F28" t="n">
        <v>60</v>
      </c>
      <c r="G28" t="n">
        <v>605</v>
      </c>
      <c r="H28" t="n">
        <v>57919271</v>
      </c>
      <c r="I28" t="n">
        <v>5050863</v>
      </c>
      <c r="J28" t="n">
        <v>2050437403</v>
      </c>
      <c r="K28" t="n">
        <v>220050</v>
      </c>
      <c r="L28" t="n">
        <v>908.0778</v>
      </c>
      <c r="M28" t="n">
        <v>0</v>
      </c>
      <c r="N28" t="inlineStr">
        <is>
          <t>main</t>
        </is>
      </c>
      <c r="O28" t="n">
        <v>12</v>
      </c>
      <c r="P28" t="inlineStr">
        <is>
          <t>conversation</t>
        </is>
      </c>
    </row>
    <row r="29">
      <c r="A29" t="inlineStr">
        <is>
          <t>2026-05-09</t>
        </is>
      </c>
      <c r="B29" t="n">
        <v>13</v>
      </c>
      <c r="C29" t="inlineStr">
        <is>
          <t>MAIN</t>
        </is>
      </c>
      <c r="D29" t="inlineStr">
        <is>
          <t>09:04</t>
        </is>
      </c>
      <c r="E29" t="inlineStr">
        <is>
          <t>10:04</t>
        </is>
      </c>
      <c r="F29" t="n">
        <v>60</v>
      </c>
      <c r="G29" t="n">
        <v>713</v>
      </c>
      <c r="H29" t="n">
        <v>46306825</v>
      </c>
      <c r="I29" t="n">
        <v>4100478</v>
      </c>
      <c r="J29" t="n">
        <v>1588281389</v>
      </c>
      <c r="K29" t="n">
        <v>259050</v>
      </c>
      <c r="L29" t="n">
        <v>711.6376</v>
      </c>
      <c r="M29" t="n">
        <v>0</v>
      </c>
      <c r="N29" t="inlineStr">
        <is>
          <t>main</t>
        </is>
      </c>
      <c r="O29" t="n">
        <v>17</v>
      </c>
      <c r="P29" t="inlineStr">
        <is>
          <t>conversation</t>
        </is>
      </c>
    </row>
    <row r="30">
      <c r="A30" t="inlineStr">
        <is>
          <t>2026-05-09</t>
        </is>
      </c>
      <c r="B30" t="n">
        <v>13</v>
      </c>
      <c r="C30" t="inlineStr">
        <is>
          <t>MAIN</t>
        </is>
      </c>
      <c r="D30" t="inlineStr">
        <is>
          <t>09:33</t>
        </is>
      </c>
      <c r="E30" t="inlineStr">
        <is>
          <t>10:33</t>
        </is>
      </c>
      <c r="F30" t="n">
        <v>60</v>
      </c>
      <c r="G30" t="n">
        <v>753</v>
      </c>
      <c r="H30" t="n">
        <v>10000776</v>
      </c>
      <c r="I30" t="n">
        <v>1227563</v>
      </c>
      <c r="J30" t="n">
        <v>488403924</v>
      </c>
      <c r="K30" t="n">
        <v>273850</v>
      </c>
      <c r="L30" t="n">
        <v>202.436</v>
      </c>
      <c r="M30" t="n">
        <v>0</v>
      </c>
      <c r="N30" t="inlineStr">
        <is>
          <t>main</t>
        </is>
      </c>
      <c r="O30" t="n">
        <v>18</v>
      </c>
      <c r="P30" t="inlineStr">
        <is>
          <t>conversation</t>
        </is>
      </c>
    </row>
    <row r="31">
      <c r="A31" t="inlineStr">
        <is>
          <t>2026-05-09</t>
        </is>
      </c>
      <c r="B31" t="n">
        <v>13</v>
      </c>
      <c r="C31" t="inlineStr">
        <is>
          <t>MAIN</t>
        </is>
      </c>
      <c r="D31" t="inlineStr">
        <is>
          <t>09:34</t>
        </is>
      </c>
      <c r="E31" t="inlineStr">
        <is>
          <t>10:34</t>
        </is>
      </c>
      <c r="F31" t="n">
        <v>60</v>
      </c>
      <c r="G31" t="n">
        <v>756</v>
      </c>
      <c r="H31" t="n">
        <v>45415145</v>
      </c>
      <c r="I31" t="n">
        <v>4184424</v>
      </c>
      <c r="J31" t="n">
        <v>2218825186</v>
      </c>
      <c r="K31" t="n">
        <v>275400</v>
      </c>
      <c r="L31" t="n">
        <v>898.7018</v>
      </c>
      <c r="M31" t="n">
        <v>0.01</v>
      </c>
      <c r="N31" t="inlineStr">
        <is>
          <t>main</t>
        </is>
      </c>
      <c r="O31" t="n">
        <v>18</v>
      </c>
      <c r="P31" t="inlineStr">
        <is>
          <t>conversation</t>
        </is>
      </c>
    </row>
    <row r="32">
      <c r="A32" t="inlineStr">
        <is>
          <t>2026-05-13</t>
        </is>
      </c>
      <c r="B32" t="n">
        <v>17</v>
      </c>
      <c r="C32" t="inlineStr">
        <is>
          <t>MAIN</t>
        </is>
      </c>
      <c r="D32" t="inlineStr">
        <is>
          <t>16:36</t>
        </is>
      </c>
      <c r="E32" t="inlineStr">
        <is>
          <t>17:36</t>
        </is>
      </c>
      <c r="F32" t="n">
        <v>60</v>
      </c>
      <c r="G32" t="n">
        <v>718</v>
      </c>
      <c r="H32" t="n">
        <v>32787696</v>
      </c>
      <c r="I32" t="n">
        <v>1825184</v>
      </c>
      <c r="J32" t="n">
        <v>1361049886</v>
      </c>
      <c r="K32" t="n">
        <v>261100</v>
      </c>
      <c r="L32" t="n">
        <v>558.6419</v>
      </c>
      <c r="M32" t="n">
        <v>0</v>
      </c>
      <c r="N32" t="inlineStr">
        <is>
          <t>docs/m3-retro</t>
        </is>
      </c>
      <c r="O32" t="n">
        <v>15</v>
      </c>
      <c r="P32" t="inlineStr">
        <is>
          <t>conversation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4" t="inlineStr">
        <is>
          <t>Date</t>
        </is>
      </c>
      <c r="B1" s="104" t="inlineStr">
        <is>
          <t>Day-N</t>
        </is>
      </c>
      <c r="C1" s="104" t="inlineStr">
        <is>
          <t>Total Sessions</t>
        </is>
      </c>
      <c r="D1" s="104" t="inlineStr">
        <is>
          <t>Total Hours</t>
        </is>
      </c>
      <c r="E1" s="104" t="inlineStr">
        <is>
          <t>Total Tool Calls</t>
        </is>
      </c>
      <c r="F1" s="104" t="inlineStr">
        <is>
          <t>Total Tokens In</t>
        </is>
      </c>
      <c r="G1" s="104" t="inlineStr">
        <is>
          <t>Total Tokens Out</t>
        </is>
      </c>
      <c r="H1" s="104" t="inlineStr">
        <is>
          <t>Total Tokens Saved</t>
        </is>
      </c>
      <c r="I1" s="104" t="inlineStr">
        <is>
          <t>Total Cost USD</t>
        </is>
      </c>
    </row>
    <row r="2">
      <c r="A2" t="inlineStr">
        <is>
          <t>2026-04-27</t>
        </is>
      </c>
      <c r="B2" t="n">
        <v>1</v>
      </c>
      <c r="C2" t="n">
        <v>1</v>
      </c>
      <c r="D2" t="n">
        <v>11</v>
      </c>
      <c r="E2" t="n">
        <v>120</v>
      </c>
      <c r="F2" t="n">
        <v>240000</v>
      </c>
      <c r="G2" t="n">
        <v>60000</v>
      </c>
      <c r="H2" t="n">
        <v>6450</v>
      </c>
      <c r="I2" t="n">
        <v>1.62</v>
      </c>
    </row>
    <row r="3">
      <c r="A3" t="inlineStr">
        <is>
          <t>2026-04-28</t>
        </is>
      </c>
      <c r="B3" t="n">
        <v>2</v>
      </c>
      <c r="C3" t="n">
        <v>3</v>
      </c>
      <c r="D3" t="n">
        <v>5.33</v>
      </c>
      <c r="E3" t="n">
        <v>213</v>
      </c>
      <c r="F3" t="n">
        <v>426000</v>
      </c>
      <c r="G3" t="n">
        <v>106500</v>
      </c>
      <c r="H3" t="n">
        <v>103050</v>
      </c>
      <c r="I3" t="n">
        <v>2.8755</v>
      </c>
    </row>
    <row r="4">
      <c r="A4" t="inlineStr">
        <is>
          <t>2026-05-04</t>
        </is>
      </c>
      <c r="B4" t="n">
        <v>8</v>
      </c>
      <c r="C4" t="n">
        <v>1</v>
      </c>
      <c r="D4" t="n">
        <v>1</v>
      </c>
      <c r="E4" t="n">
        <v>605</v>
      </c>
      <c r="F4" t="n">
        <v>57919271</v>
      </c>
      <c r="G4" t="n">
        <v>5050863</v>
      </c>
      <c r="H4" t="n">
        <v>220050</v>
      </c>
      <c r="I4" t="n">
        <v>908.0778</v>
      </c>
    </row>
    <row r="5">
      <c r="A5" t="inlineStr">
        <is>
          <t>2026-05-09</t>
        </is>
      </c>
      <c r="B5" t="n">
        <v>13</v>
      </c>
      <c r="C5" t="n">
        <v>3</v>
      </c>
      <c r="D5" t="n">
        <v>3</v>
      </c>
      <c r="E5" t="n">
        <v>2222</v>
      </c>
      <c r="F5" t="n">
        <v>101722746</v>
      </c>
      <c r="G5" t="n">
        <v>9512465</v>
      </c>
      <c r="H5" t="n">
        <v>808300</v>
      </c>
      <c r="I5" t="n">
        <v>1812.7754</v>
      </c>
    </row>
    <row r="6">
      <c r="A6" t="inlineStr">
        <is>
          <t>2026-05-13</t>
        </is>
      </c>
      <c r="B6" t="n">
        <v>17</v>
      </c>
      <c r="C6" t="n">
        <v>1</v>
      </c>
      <c r="D6" t="n">
        <v>1</v>
      </c>
      <c r="E6" t="n">
        <v>718</v>
      </c>
      <c r="F6" t="n">
        <v>32787696</v>
      </c>
      <c r="G6" t="n">
        <v>1825184</v>
      </c>
      <c r="H6" t="n">
        <v>261100</v>
      </c>
      <c r="I6" t="n">
        <v>558.6419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4" t="inlineStr">
        <is>
          <t>Worktree</t>
        </is>
      </c>
      <c r="B1" s="104" t="inlineStr">
        <is>
          <t>Sessions</t>
        </is>
      </c>
      <c r="C1" s="104" t="inlineStr">
        <is>
          <t>Hours</t>
        </is>
      </c>
      <c r="D1" s="104" t="inlineStr">
        <is>
          <t>Tool Calls</t>
        </is>
      </c>
      <c r="E1" s="104" t="inlineStr">
        <is>
          <t>Tokens In</t>
        </is>
      </c>
      <c r="F1" s="104" t="inlineStr">
        <is>
          <t>Tokens Out</t>
        </is>
      </c>
      <c r="G1" s="104" t="inlineStr">
        <is>
          <t>Tokens Saved</t>
        </is>
      </c>
      <c r="H1" s="104" t="inlineStr">
        <is>
          <t>Cost USD</t>
        </is>
      </c>
      <c r="I1" s="104" t="inlineStr">
        <is>
          <t>Tokens Saved/Hour</t>
        </is>
      </c>
      <c r="J1" s="104" t="inlineStr">
        <is>
          <t>In:Out Ratio</t>
        </is>
      </c>
    </row>
    <row r="2">
      <c r="A2" t="inlineStr">
        <is>
          <t>MAIN</t>
        </is>
      </c>
      <c r="B2" t="n">
        <v>9</v>
      </c>
      <c r="C2" t="n">
        <v>21.33</v>
      </c>
      <c r="D2" t="n">
        <v>3878</v>
      </c>
      <c r="E2" t="n">
        <v>193095713</v>
      </c>
      <c r="F2" t="n">
        <v>16555012</v>
      </c>
      <c r="G2" t="n">
        <v>1398950</v>
      </c>
      <c r="H2" t="n">
        <v>3283.9906</v>
      </c>
      <c r="I2" t="n">
        <v>65586</v>
      </c>
      <c r="J2" t="n">
        <v>11.66</v>
      </c>
    </row>
    <row r="3">
      <c r="A3" t="inlineStr">
        <is>
          <t>GRAND TOTAL</t>
        </is>
      </c>
      <c r="B3" t="n">
        <v>9</v>
      </c>
      <c r="C3" t="n">
        <v>21.33</v>
      </c>
      <c r="D3" t="n">
        <v>3878</v>
      </c>
      <c r="E3" t="n">
        <v>193095713</v>
      </c>
      <c r="F3" t="n">
        <v>16555012</v>
      </c>
      <c r="G3" t="n">
        <v>1398950</v>
      </c>
      <c r="H3" t="n">
        <v>3283.9906</v>
      </c>
      <c r="I3" t="n">
        <v>65586</v>
      </c>
      <c r="J3" t="n">
        <v>11.66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4" t="inlineStr">
        <is>
          <t>Date</t>
        </is>
      </c>
      <c r="B1" s="104" t="inlineStr">
        <is>
          <t>Worktree</t>
        </is>
      </c>
      <c r="C1" s="104" t="inlineStr">
        <is>
          <t>Field</t>
        </is>
      </c>
      <c r="D1" s="104" t="inlineStr">
        <is>
          <t>Reason</t>
        </is>
      </c>
      <c r="E1" s="104" t="inlineStr">
        <is>
          <t>Mitigation</t>
        </is>
      </c>
    </row>
    <row r="2">
      <c r="A2" t="inlineStr">
        <is>
          <t>2026-04-27</t>
        </is>
      </c>
      <c r="B2" t="inlineStr">
        <is>
          <t>MAIN</t>
        </is>
      </c>
      <c r="C2" t="inlineStr">
        <is>
          <t>Tokens In/Out</t>
        </is>
      </c>
      <c r="D2" t="inlineStr">
        <is>
          <t>Conversation file ~/.claude/projects/.../d1-main.jsonl missing or empty</t>
        </is>
      </c>
      <c r="E2" t="inlineStr">
        <is>
          <t>Heuristic estimate (tool_calls × 2000 in / × 500 out); refine when conversation reachable</t>
        </is>
      </c>
    </row>
    <row r="3">
      <c r="A3" t="inlineStr">
        <is>
          <t>2026-04-28</t>
        </is>
      </c>
      <c r="B3" t="inlineStr">
        <is>
          <t>MAIN</t>
        </is>
      </c>
      <c r="C3" t="inlineStr">
        <is>
          <t>Tokens In/Out</t>
        </is>
      </c>
      <c r="D3" t="inlineStr">
        <is>
          <t>Conversation file ~/.claude/projects/.../d2-morni.jsonl missing or empty</t>
        </is>
      </c>
      <c r="E3" t="inlineStr">
        <is>
          <t>Heuristic estimate (tool_calls × 2000 in / × 500 out); refine when conversation reachable</t>
        </is>
      </c>
    </row>
    <row r="4">
      <c r="A4" t="inlineStr">
        <is>
          <t>2026-04-28</t>
        </is>
      </c>
      <c r="B4" t="inlineStr">
        <is>
          <t>MAIN</t>
        </is>
      </c>
      <c r="C4" t="inlineStr">
        <is>
          <t>Tokens In/Out</t>
        </is>
      </c>
      <c r="D4" t="inlineStr">
        <is>
          <t>Conversation file ~/.claude/projects/.../d2-eveni.jsonl missing or empty</t>
        </is>
      </c>
      <c r="E4" t="inlineStr">
        <is>
          <t>Heuristic estimate (tool_calls × 2000 in / × 500 out); refine when conversation reachable</t>
        </is>
      </c>
    </row>
    <row r="5">
      <c r="A5" t="inlineStr">
        <is>
          <t>2026-04-28</t>
        </is>
      </c>
      <c r="B5" t="inlineStr">
        <is>
          <t>MAIN</t>
        </is>
      </c>
      <c r="C5" t="inlineStr">
        <is>
          <t>Tokens In/Out</t>
        </is>
      </c>
      <c r="D5" t="inlineStr">
        <is>
          <t>Conversation file ~/.claude/projects/.../d2-stret.jsonl missing or empty</t>
        </is>
      </c>
      <c r="E5" t="inlineStr">
        <is>
          <t>Heuristic estimate (tool_calls × 2000 in / × 500 out); refine when conversation reachable</t>
        </is>
      </c>
    </row>
    <row r="6">
      <c r="A6" t="inlineStr">
        <is>
          <t>2026-04-26</t>
        </is>
      </c>
      <c r="B6" t="inlineStr">
        <is>
          <t>MAIN</t>
        </is>
      </c>
      <c r="C6" t="inlineStr">
        <is>
          <t>All token + hours fields</t>
        </is>
      </c>
      <c r="D6" t="inlineStr">
        <is>
          <t>Stop hook didn't write a token-savings.jsonl row on 2026-04-26 (likely session cleanly closed without Stop event, OR session crossed midnight UTC)</t>
        </is>
      </c>
      <c r="E6" t="inlineStr">
        <is>
          <t>Reconstruct hours from docs/eod-reports/2026-04-26-day-0.md; tokens unrecoverable for past sessions</t>
        </is>
      </c>
    </row>
    <row r="7">
      <c r="A7" t="inlineStr">
        <is>
          <t>2026-04-26</t>
        </is>
      </c>
      <c r="B7" t="inlineStr">
        <is>
          <t>FE</t>
        </is>
      </c>
      <c r="C7" t="inlineStr">
        <is>
          <t>All token + hours fields</t>
        </is>
      </c>
      <c r="D7" t="inlineStr">
        <is>
          <t>FE worktree Stop hook NEVER fired (audit.jsonl absent — Bug A in token-tracking-diagnostic-2026-05-04.md)</t>
        </is>
      </c>
      <c r="E7" t="inlineStr">
        <is>
          <t>Operator self-report from FE+1 EOD summary; followup (z) to investigate hook activation Day 9 morning</t>
        </is>
      </c>
    </row>
    <row r="8">
      <c r="A8" t="inlineStr">
        <is>
          <t>2026-04-26</t>
        </is>
      </c>
      <c r="B8" t="inlineStr">
        <is>
          <t>BE</t>
        </is>
      </c>
      <c r="C8" t="inlineStr">
        <is>
          <t>All token + hours fields</t>
        </is>
      </c>
      <c r="D8" t="inlineStr">
        <is>
          <t>BE worktree Stop hook fired through 2026-04-28 then stopped (Bug B in diagnostic doc)</t>
        </is>
      </c>
      <c r="E8" t="inlineStr">
        <is>
          <t>Operator self-report from BE+1 EOD summary; same followup (z) as FE</t>
        </is>
      </c>
    </row>
    <row r="9">
      <c r="A9" t="inlineStr">
        <is>
          <t>2026-04-27</t>
        </is>
      </c>
      <c r="B9" t="inlineStr">
        <is>
          <t>FE</t>
        </is>
      </c>
      <c r="C9" t="inlineStr">
        <is>
          <t>All token + hours fields</t>
        </is>
      </c>
      <c r="D9" t="inlineStr">
        <is>
          <t>FE worktree Stop hook NEVER fired (audit.jsonl absent — Bug A in token-tracking-diagnostic-2026-05-04.md)</t>
        </is>
      </c>
      <c r="E9" t="inlineStr">
        <is>
          <t>Operator self-report from FE+1 EOD summary; followup (z) to investigate hook activation Day 9 morning</t>
        </is>
      </c>
    </row>
    <row r="10">
      <c r="A10" t="inlineStr">
        <is>
          <t>2026-04-27</t>
        </is>
      </c>
      <c r="B10" t="inlineStr">
        <is>
          <t>BE</t>
        </is>
      </c>
      <c r="C10" t="inlineStr">
        <is>
          <t>All token + hours fields</t>
        </is>
      </c>
      <c r="D10" t="inlineStr">
        <is>
          <t>BE worktree Stop hook fired through 2026-04-28 then stopped (Bug B in diagnostic doc)</t>
        </is>
      </c>
      <c r="E10" t="inlineStr">
        <is>
          <t>Operator self-report from BE+1 EOD summary; same followup (z) as FE</t>
        </is>
      </c>
    </row>
    <row r="11">
      <c r="A11" t="inlineStr">
        <is>
          <t>2026-04-28</t>
        </is>
      </c>
      <c r="B11" t="inlineStr">
        <is>
          <t>FE</t>
        </is>
      </c>
      <c r="C11" t="inlineStr">
        <is>
          <t>All token + hours fields</t>
        </is>
      </c>
      <c r="D11" t="inlineStr">
        <is>
          <t>FE worktree Stop hook NEVER fired (audit.jsonl absent — Bug A in token-tracking-diagnostic-2026-05-04.md)</t>
        </is>
      </c>
      <c r="E11" t="inlineStr">
        <is>
          <t>Operator self-report from FE+1 EOD summary; followup (z) to investigate hook activation Day 9 morning</t>
        </is>
      </c>
    </row>
    <row r="12">
      <c r="A12" t="inlineStr">
        <is>
          <t>2026-04-28</t>
        </is>
      </c>
      <c r="B12" t="inlineStr">
        <is>
          <t>BE</t>
        </is>
      </c>
      <c r="C12" t="inlineStr">
        <is>
          <t>All token + hours fields</t>
        </is>
      </c>
      <c r="D12" t="inlineStr">
        <is>
          <t>BE worktree Stop hook fired through 2026-04-28 then stopped (Bug B in diagnostic doc)</t>
        </is>
      </c>
      <c r="E12" t="inlineStr">
        <is>
          <t>Operator self-report from BE+1 EOD summary; same followup (z) as FE</t>
        </is>
      </c>
    </row>
    <row r="13">
      <c r="A13" t="inlineStr">
        <is>
          <t>2026-04-29</t>
        </is>
      </c>
      <c r="B13" t="inlineStr">
        <is>
          <t>MAIN</t>
        </is>
      </c>
      <c r="C13" t="inlineStr">
        <is>
          <t>All token + hours fields</t>
        </is>
      </c>
      <c r="D13" t="inlineStr">
        <is>
          <t>Stop hook didn't write a token-savings.jsonl row on 2026-04-29 (likely session cleanly closed without Stop event, OR session crossed midnight UTC)</t>
        </is>
      </c>
      <c r="E13" t="inlineStr">
        <is>
          <t>Reconstruct hours from docs/eod-reports/2026-04-29-day-3.md; tokens unrecoverable for past sessions</t>
        </is>
      </c>
    </row>
    <row r="14">
      <c r="A14" t="inlineStr">
        <is>
          <t>2026-04-29</t>
        </is>
      </c>
      <c r="B14" t="inlineStr">
        <is>
          <t>FE</t>
        </is>
      </c>
      <c r="C14" t="inlineStr">
        <is>
          <t>All token + hours fields</t>
        </is>
      </c>
      <c r="D14" t="inlineStr">
        <is>
          <t>FE worktree Stop hook NEVER fired (audit.jsonl absent — Bug A in token-tracking-diagnostic-2026-05-04.md)</t>
        </is>
      </c>
      <c r="E14" t="inlineStr">
        <is>
          <t>Operator self-report from FE+1 EOD summary; followup (z) to investigate hook activation Day 9 morning</t>
        </is>
      </c>
    </row>
    <row r="15">
      <c r="A15" t="inlineStr">
        <is>
          <t>2026-04-29</t>
        </is>
      </c>
      <c r="B15" t="inlineStr">
        <is>
          <t>BE</t>
        </is>
      </c>
      <c r="C15" t="inlineStr">
        <is>
          <t>All token + hours fields</t>
        </is>
      </c>
      <c r="D15" t="inlineStr">
        <is>
          <t>BE worktree Stop hook fired through 2026-04-28 then stopped (Bug B in diagnostic doc)</t>
        </is>
      </c>
      <c r="E15" t="inlineStr">
        <is>
          <t>Operator self-report from BE+1 EOD summary; same followup (z) as FE</t>
        </is>
      </c>
    </row>
    <row r="16">
      <c r="A16" t="inlineStr">
        <is>
          <t>2026-04-30</t>
        </is>
      </c>
      <c r="B16" t="inlineStr">
        <is>
          <t>MAIN</t>
        </is>
      </c>
      <c r="C16" t="inlineStr">
        <is>
          <t>All token + hours fields</t>
        </is>
      </c>
      <c r="D16" t="inlineStr">
        <is>
          <t>Stop hook didn't write a token-savings.jsonl row on 2026-04-30 (likely session cleanly closed without Stop event, OR session crossed midnight UTC)</t>
        </is>
      </c>
      <c r="E16" t="inlineStr">
        <is>
          <t>Reconstruct hours from docs/eod-reports/2026-04-30-day-4.md; tokens unrecoverable for past sessions</t>
        </is>
      </c>
    </row>
    <row r="17">
      <c r="A17" t="inlineStr">
        <is>
          <t>2026-04-30</t>
        </is>
      </c>
      <c r="B17" t="inlineStr">
        <is>
          <t>FE</t>
        </is>
      </c>
      <c r="C17" t="inlineStr">
        <is>
          <t>All token + hours fields</t>
        </is>
      </c>
      <c r="D17" t="inlineStr">
        <is>
          <t>FE worktree Stop hook NEVER fired (audit.jsonl absent — Bug A in token-tracking-diagnostic-2026-05-04.md)</t>
        </is>
      </c>
      <c r="E17" t="inlineStr">
        <is>
          <t>Operator self-report from FE+1 EOD summary; followup (z) to investigate hook activation Day 9 morning</t>
        </is>
      </c>
    </row>
    <row r="18">
      <c r="A18" t="inlineStr">
        <is>
          <t>2026-04-30</t>
        </is>
      </c>
      <c r="B18" t="inlineStr">
        <is>
          <t>BE</t>
        </is>
      </c>
      <c r="C18" t="inlineStr">
        <is>
          <t>All token + hours fields</t>
        </is>
      </c>
      <c r="D18" t="inlineStr">
        <is>
          <t>BE worktree Stop hook fired through 2026-04-28 then stopped (Bug B in diagnostic doc)</t>
        </is>
      </c>
      <c r="E18" t="inlineStr">
        <is>
          <t>Operator self-report from BE+1 EOD summary; same followup (z) as FE</t>
        </is>
      </c>
    </row>
    <row r="19">
      <c r="A19" t="inlineStr">
        <is>
          <t>2026-05-01</t>
        </is>
      </c>
      <c r="B19" t="inlineStr">
        <is>
          <t>MAIN</t>
        </is>
      </c>
      <c r="C19" t="inlineStr">
        <is>
          <t>All token + hours fields</t>
        </is>
      </c>
      <c r="D19" t="inlineStr">
        <is>
          <t>Stop hook didn't write a token-savings.jsonl row on 2026-05-01 (likely session cleanly closed without Stop event, OR session crossed midnight UTC)</t>
        </is>
      </c>
      <c r="E19" t="inlineStr">
        <is>
          <t>Reconstruct hours from docs/eod-reports/2026-05-01-day-5.md; tokens unrecoverable for past sessions</t>
        </is>
      </c>
    </row>
    <row r="20">
      <c r="A20" t="inlineStr">
        <is>
          <t>2026-05-01</t>
        </is>
      </c>
      <c r="B20" t="inlineStr">
        <is>
          <t>FE</t>
        </is>
      </c>
      <c r="C20" t="inlineStr">
        <is>
          <t>All token + hours fields</t>
        </is>
      </c>
      <c r="D20" t="inlineStr">
        <is>
          <t>FE worktree Stop hook NEVER fired (audit.jsonl absent — Bug A in token-tracking-diagnostic-2026-05-04.md)</t>
        </is>
      </c>
      <c r="E20" t="inlineStr">
        <is>
          <t>Operator self-report from FE+1 EOD summary; followup (z) to investigate hook activation Day 9 morning</t>
        </is>
      </c>
    </row>
    <row r="21">
      <c r="A21" t="inlineStr">
        <is>
          <t>2026-05-01</t>
        </is>
      </c>
      <c r="B21" t="inlineStr">
        <is>
          <t>BE</t>
        </is>
      </c>
      <c r="C21" t="inlineStr">
        <is>
          <t>All token + hours fields</t>
        </is>
      </c>
      <c r="D21" t="inlineStr">
        <is>
          <t>BE worktree Stop hook fired through 2026-04-28 then stopped (Bug B in diagnostic doc)</t>
        </is>
      </c>
      <c r="E21" t="inlineStr">
        <is>
          <t>Operator self-report from BE+1 EOD summary; same followup (z) as FE</t>
        </is>
      </c>
    </row>
    <row r="22">
      <c r="A22" t="inlineStr">
        <is>
          <t>2026-05-02</t>
        </is>
      </c>
      <c r="B22" t="inlineStr">
        <is>
          <t>MAIN</t>
        </is>
      </c>
      <c r="C22" t="inlineStr">
        <is>
          <t>All token + hours fields</t>
        </is>
      </c>
      <c r="D22" t="inlineStr">
        <is>
          <t>Stop hook didn't write a token-savings.jsonl row on 2026-05-02 (likely session cleanly closed without Stop event, OR session crossed midnight UTC)</t>
        </is>
      </c>
      <c r="E22" t="inlineStr">
        <is>
          <t>Reconstruct hours from docs/eod-reports/2026-05-02-day-6.md; tokens unrecoverable for past sessions</t>
        </is>
      </c>
    </row>
    <row r="23">
      <c r="A23" t="inlineStr">
        <is>
          <t>2026-05-02</t>
        </is>
      </c>
      <c r="B23" t="inlineStr">
        <is>
          <t>FE</t>
        </is>
      </c>
      <c r="C23" t="inlineStr">
        <is>
          <t>All token + hours fields</t>
        </is>
      </c>
      <c r="D23" t="inlineStr">
        <is>
          <t>FE worktree Stop hook NEVER fired (audit.jsonl absent — Bug A in token-tracking-diagnostic-2026-05-04.md)</t>
        </is>
      </c>
      <c r="E23" t="inlineStr">
        <is>
          <t>Operator self-report from FE+1 EOD summary; followup (z) to investigate hook activation Day 9 morning</t>
        </is>
      </c>
    </row>
    <row r="24">
      <c r="A24" t="inlineStr">
        <is>
          <t>2026-05-02</t>
        </is>
      </c>
      <c r="B24" t="inlineStr">
        <is>
          <t>BE</t>
        </is>
      </c>
      <c r="C24" t="inlineStr">
        <is>
          <t>All token + hours fields</t>
        </is>
      </c>
      <c r="D24" t="inlineStr">
        <is>
          <t>BE worktree Stop hook fired through 2026-04-28 then stopped (Bug B in diagnostic doc)</t>
        </is>
      </c>
      <c r="E24" t="inlineStr">
        <is>
          <t>Operator self-report from BE+1 EOD summary; same followup (z) as FE</t>
        </is>
      </c>
    </row>
    <row r="25">
      <c r="A25" t="inlineStr">
        <is>
          <t>2026-05-03</t>
        </is>
      </c>
      <c r="B25" t="inlineStr">
        <is>
          <t>MAIN</t>
        </is>
      </c>
      <c r="C25" t="inlineStr">
        <is>
          <t>All token + hours fields</t>
        </is>
      </c>
      <c r="D25" t="inlineStr">
        <is>
          <t>Stop hook didn't write a token-savings.jsonl row on 2026-05-03 (likely session cleanly closed without Stop event, OR session crossed midnight UTC)</t>
        </is>
      </c>
      <c r="E25" t="inlineStr">
        <is>
          <t>Reconstruct hours from docs/eod-reports/2026-05-03-day-7.md; tokens unrecoverable for past sessions</t>
        </is>
      </c>
    </row>
    <row r="26">
      <c r="A26" t="inlineStr">
        <is>
          <t>2026-05-03</t>
        </is>
      </c>
      <c r="B26" t="inlineStr">
        <is>
          <t>FE</t>
        </is>
      </c>
      <c r="C26" t="inlineStr">
        <is>
          <t>All token + hours fields</t>
        </is>
      </c>
      <c r="D26" t="inlineStr">
        <is>
          <t>FE worktree Stop hook NEVER fired (audit.jsonl absent — Bug A in token-tracking-diagnostic-2026-05-04.md)</t>
        </is>
      </c>
      <c r="E26" t="inlineStr">
        <is>
          <t>Operator self-report from FE+1 EOD summary; followup (z) to investigate hook activation Day 9 morning</t>
        </is>
      </c>
    </row>
    <row r="27">
      <c r="A27" t="inlineStr">
        <is>
          <t>2026-05-03</t>
        </is>
      </c>
      <c r="B27" t="inlineStr">
        <is>
          <t>BE</t>
        </is>
      </c>
      <c r="C27" t="inlineStr">
        <is>
          <t>All token + hours fields</t>
        </is>
      </c>
      <c r="D27" t="inlineStr">
        <is>
          <t>BE worktree Stop hook fired through 2026-04-28 then stopped (Bug B in diagnostic doc)</t>
        </is>
      </c>
      <c r="E27" t="inlineStr">
        <is>
          <t>Operator self-report from BE+1 EOD summary; same followup (z) as 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2026-05-05T19:58:00Z</dcterms:created>
  <dcterms:modified xmlns:dcterms="http://purl.org/dc/terms/" xmlns:xsi="http://www.w3.org/2001/XMLSchema-instance" xsi:type="dcterms:W3CDTF">2026-05-13T17:39:04Z</dcterms:modified>
  <cp:lastModifiedBy>yogeshmohite</cp:lastModifiedBy>
  <cp:revision>5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EF1AF422DC11F9E47002FA6998D45E51_42</vt:lpwstr>
  </property>
  <property name="KSOProductBuildVer" fmtid="{D5CDD505-2E9C-101B-9397-08002B2CF9AE}" pid="3">
    <vt:lpwstr xmlns:vt="http://schemas.openxmlformats.org/officeDocument/2006/docPropsVTypes">1033-6.14.0.8716</vt:lpwstr>
  </property>
</Properties>
</file>